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AndroidStudioProjects\FinalYearProjectNew\"/>
    </mc:Choice>
  </mc:AlternateContent>
  <xr:revisionPtr revIDLastSave="0" documentId="8_{B46DE201-C81A-4740-A2BC-71689ED10833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Instructions" sheetId="1" r:id="rId1"/>
    <sheet name="Test Participants" sheetId="2" r:id="rId2"/>
    <sheet name="Test Case Catalogue" sheetId="3" r:id="rId3"/>
    <sheet name="Test Execution" sheetId="4" r:id="rId4"/>
    <sheet name="Model Validation" sheetId="5" r:id="rId5"/>
    <sheet name="Usability Feedback" sheetId="6" r:id="rId6"/>
    <sheet name="Defect Log" sheetId="7" r:id="rId7"/>
    <sheet name="Dashboard" sheetId="8" r:id="rId8"/>
    <sheet name="Lists &amp; Guid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8" l="1"/>
  <c r="C32" i="8"/>
  <c r="C31" i="8"/>
  <c r="C30" i="8"/>
  <c r="C29" i="8"/>
  <c r="C28" i="8"/>
  <c r="C27" i="8"/>
  <c r="C26" i="8"/>
  <c r="F25" i="8"/>
  <c r="C25" i="8"/>
  <c r="F24" i="8"/>
  <c r="C24" i="8"/>
  <c r="F23" i="8"/>
  <c r="C23" i="8"/>
  <c r="F22" i="8"/>
  <c r="C22" i="8"/>
  <c r="B18" i="8"/>
  <c r="B17" i="8"/>
  <c r="B16" i="8"/>
  <c r="B15" i="8"/>
  <c r="B14" i="8"/>
  <c r="D9" i="8"/>
  <c r="A9" i="8"/>
  <c r="G5" i="8"/>
  <c r="D5" i="8"/>
  <c r="A5" i="8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G9" i="8" s="1"/>
  <c r="U55" i="5"/>
  <c r="S55" i="5"/>
  <c r="R55" i="5"/>
  <c r="Q55" i="5"/>
  <c r="P55" i="5"/>
  <c r="M55" i="5"/>
  <c r="K55" i="5"/>
  <c r="U54" i="5"/>
  <c r="S54" i="5"/>
  <c r="R54" i="5"/>
  <c r="Q54" i="5"/>
  <c r="P54" i="5"/>
  <c r="M54" i="5"/>
  <c r="K54" i="5"/>
  <c r="U53" i="5"/>
  <c r="S53" i="5"/>
  <c r="Q53" i="5"/>
  <c r="P53" i="5"/>
  <c r="R53" i="5" s="1"/>
  <c r="M53" i="5"/>
  <c r="K53" i="5"/>
  <c r="U52" i="5"/>
  <c r="S52" i="5"/>
  <c r="Q52" i="5"/>
  <c r="P52" i="5"/>
  <c r="R52" i="5" s="1"/>
  <c r="M52" i="5"/>
  <c r="K52" i="5"/>
  <c r="U51" i="5"/>
  <c r="S51" i="5"/>
  <c r="R51" i="5"/>
  <c r="Q51" i="5"/>
  <c r="P51" i="5"/>
  <c r="M51" i="5"/>
  <c r="K51" i="5"/>
  <c r="U50" i="5"/>
  <c r="S50" i="5"/>
  <c r="R50" i="5"/>
  <c r="Q50" i="5"/>
  <c r="P50" i="5"/>
  <c r="M50" i="5"/>
  <c r="K50" i="5"/>
  <c r="U49" i="5"/>
  <c r="S49" i="5"/>
  <c r="Q49" i="5"/>
  <c r="P49" i="5"/>
  <c r="R49" i="5" s="1"/>
  <c r="M49" i="5"/>
  <c r="K49" i="5"/>
  <c r="U48" i="5"/>
  <c r="S48" i="5"/>
  <c r="Q48" i="5"/>
  <c r="P48" i="5"/>
  <c r="R48" i="5" s="1"/>
  <c r="M48" i="5"/>
  <c r="K48" i="5"/>
  <c r="U47" i="5"/>
  <c r="S47" i="5"/>
  <c r="R47" i="5"/>
  <c r="Q47" i="5"/>
  <c r="P47" i="5"/>
  <c r="M47" i="5"/>
  <c r="K47" i="5"/>
  <c r="U46" i="5"/>
  <c r="S46" i="5"/>
  <c r="R46" i="5"/>
  <c r="Q46" i="5"/>
  <c r="P46" i="5"/>
  <c r="M46" i="5"/>
  <c r="K46" i="5"/>
  <c r="U45" i="5"/>
  <c r="S45" i="5"/>
  <c r="Q45" i="5"/>
  <c r="P45" i="5"/>
  <c r="R45" i="5" s="1"/>
  <c r="M45" i="5"/>
  <c r="K45" i="5"/>
  <c r="U44" i="5"/>
  <c r="S44" i="5"/>
  <c r="Q44" i="5"/>
  <c r="P44" i="5"/>
  <c r="R44" i="5" s="1"/>
  <c r="M44" i="5"/>
  <c r="K44" i="5"/>
  <c r="U43" i="5"/>
  <c r="S43" i="5"/>
  <c r="R43" i="5"/>
  <c r="Q43" i="5"/>
  <c r="P43" i="5"/>
  <c r="M43" i="5"/>
  <c r="K43" i="5"/>
  <c r="U42" i="5"/>
  <c r="S42" i="5"/>
  <c r="R42" i="5"/>
  <c r="Q42" i="5"/>
  <c r="P42" i="5"/>
  <c r="M42" i="5"/>
  <c r="K42" i="5"/>
  <c r="U41" i="5"/>
  <c r="S41" i="5"/>
  <c r="Q41" i="5"/>
  <c r="P41" i="5"/>
  <c r="R41" i="5" s="1"/>
  <c r="M41" i="5"/>
  <c r="K41" i="5"/>
  <c r="U40" i="5"/>
  <c r="S40" i="5"/>
  <c r="Q40" i="5"/>
  <c r="P40" i="5"/>
  <c r="R40" i="5" s="1"/>
  <c r="M40" i="5"/>
  <c r="K40" i="5"/>
  <c r="U39" i="5"/>
  <c r="S39" i="5"/>
  <c r="R39" i="5"/>
  <c r="Q39" i="5"/>
  <c r="P39" i="5"/>
  <c r="M39" i="5"/>
  <c r="K39" i="5"/>
  <c r="U38" i="5"/>
  <c r="S38" i="5"/>
  <c r="R38" i="5"/>
  <c r="Q38" i="5"/>
  <c r="P38" i="5"/>
  <c r="M38" i="5"/>
  <c r="K38" i="5"/>
  <c r="U37" i="5"/>
  <c r="S37" i="5"/>
  <c r="Q37" i="5"/>
  <c r="P37" i="5"/>
  <c r="R37" i="5" s="1"/>
  <c r="M37" i="5"/>
  <c r="K37" i="5"/>
  <c r="U36" i="5"/>
  <c r="S36" i="5"/>
  <c r="Q36" i="5"/>
  <c r="P36" i="5"/>
  <c r="R36" i="5" s="1"/>
  <c r="M36" i="5"/>
  <c r="K36" i="5"/>
  <c r="U35" i="5"/>
  <c r="S35" i="5"/>
  <c r="R35" i="5"/>
  <c r="Q35" i="5"/>
  <c r="P35" i="5"/>
  <c r="M35" i="5"/>
  <c r="K35" i="5"/>
  <c r="U34" i="5"/>
  <c r="S34" i="5"/>
  <c r="R34" i="5"/>
  <c r="Q34" i="5"/>
  <c r="P34" i="5"/>
  <c r="M34" i="5"/>
  <c r="K34" i="5"/>
  <c r="U33" i="5"/>
  <c r="S33" i="5"/>
  <c r="Q33" i="5"/>
  <c r="P33" i="5"/>
  <c r="R33" i="5" s="1"/>
  <c r="M33" i="5"/>
  <c r="K33" i="5"/>
  <c r="U32" i="5"/>
  <c r="S32" i="5"/>
  <c r="Q32" i="5"/>
  <c r="P32" i="5"/>
  <c r="R32" i="5" s="1"/>
  <c r="M32" i="5"/>
  <c r="K32" i="5"/>
  <c r="U31" i="5"/>
  <c r="S31" i="5"/>
  <c r="R31" i="5"/>
  <c r="Q31" i="5"/>
  <c r="P31" i="5"/>
  <c r="M31" i="5"/>
  <c r="K31" i="5"/>
  <c r="U30" i="5"/>
  <c r="S30" i="5"/>
  <c r="R30" i="5"/>
  <c r="Q30" i="5"/>
  <c r="P30" i="5"/>
  <c r="M30" i="5"/>
  <c r="K30" i="5"/>
  <c r="U29" i="5"/>
  <c r="S29" i="5"/>
  <c r="Q29" i="5"/>
  <c r="P29" i="5"/>
  <c r="R29" i="5" s="1"/>
  <c r="M29" i="5"/>
  <c r="K29" i="5"/>
  <c r="U28" i="5"/>
  <c r="S28" i="5"/>
  <c r="Q28" i="5"/>
  <c r="P28" i="5"/>
  <c r="R28" i="5" s="1"/>
  <c r="M28" i="5"/>
  <c r="K28" i="5"/>
  <c r="U27" i="5"/>
  <c r="S27" i="5"/>
  <c r="R27" i="5"/>
  <c r="Q27" i="5"/>
  <c r="P27" i="5"/>
  <c r="M27" i="5"/>
  <c r="K27" i="5"/>
  <c r="U26" i="5"/>
  <c r="S26" i="5"/>
  <c r="R26" i="5"/>
  <c r="Q26" i="5"/>
  <c r="P26" i="5"/>
  <c r="M26" i="5"/>
  <c r="K26" i="5"/>
  <c r="U25" i="5"/>
  <c r="S25" i="5"/>
  <c r="Q25" i="5"/>
  <c r="P25" i="5"/>
  <c r="R25" i="5" s="1"/>
  <c r="M25" i="5"/>
  <c r="K25" i="5"/>
  <c r="U24" i="5"/>
  <c r="S24" i="5"/>
  <c r="Q24" i="5"/>
  <c r="P24" i="5"/>
  <c r="R24" i="5" s="1"/>
  <c r="M24" i="5"/>
  <c r="K24" i="5"/>
  <c r="U23" i="5"/>
  <c r="S23" i="5"/>
  <c r="R23" i="5"/>
  <c r="Q23" i="5"/>
  <c r="P23" i="5"/>
  <c r="M23" i="5"/>
  <c r="K23" i="5"/>
  <c r="U22" i="5"/>
  <c r="S22" i="5"/>
  <c r="R22" i="5"/>
  <c r="Q22" i="5"/>
  <c r="P22" i="5"/>
  <c r="M22" i="5"/>
  <c r="K22" i="5"/>
  <c r="U21" i="5"/>
  <c r="S21" i="5"/>
  <c r="Q21" i="5"/>
  <c r="P21" i="5"/>
  <c r="R21" i="5" s="1"/>
  <c r="M21" i="5"/>
  <c r="K21" i="5"/>
  <c r="U20" i="5"/>
  <c r="S20" i="5"/>
  <c r="Q20" i="5"/>
  <c r="P20" i="5"/>
  <c r="R20" i="5" s="1"/>
  <c r="M20" i="5"/>
  <c r="K20" i="5"/>
  <c r="U19" i="5"/>
  <c r="S19" i="5"/>
  <c r="R19" i="5"/>
  <c r="Q19" i="5"/>
  <c r="P19" i="5"/>
  <c r="M19" i="5"/>
  <c r="K19" i="5"/>
  <c r="U18" i="5"/>
  <c r="S18" i="5"/>
  <c r="R18" i="5"/>
  <c r="Q18" i="5"/>
  <c r="P18" i="5"/>
  <c r="M18" i="5"/>
  <c r="K18" i="5"/>
  <c r="U17" i="5"/>
  <c r="S17" i="5"/>
  <c r="Q17" i="5"/>
  <c r="P17" i="5"/>
  <c r="R17" i="5" s="1"/>
  <c r="M17" i="5"/>
  <c r="K17" i="5"/>
  <c r="U16" i="5"/>
  <c r="S16" i="5"/>
  <c r="Q16" i="5"/>
  <c r="P16" i="5"/>
  <c r="R16" i="5" s="1"/>
  <c r="M16" i="5"/>
  <c r="K16" i="5"/>
  <c r="U15" i="5"/>
  <c r="S15" i="5"/>
  <c r="Q15" i="5"/>
  <c r="P15" i="5"/>
  <c r="R15" i="5" s="1"/>
  <c r="M15" i="5"/>
  <c r="K15" i="5"/>
  <c r="U14" i="5"/>
  <c r="S14" i="5"/>
  <c r="Q14" i="5"/>
  <c r="P14" i="5"/>
  <c r="R14" i="5" s="1"/>
  <c r="M14" i="5"/>
  <c r="K14" i="5"/>
  <c r="U13" i="5"/>
  <c r="S13" i="5"/>
  <c r="Q13" i="5"/>
  <c r="P13" i="5"/>
  <c r="R13" i="5" s="1"/>
  <c r="M13" i="5"/>
  <c r="K13" i="5"/>
  <c r="U12" i="5"/>
  <c r="S12" i="5"/>
  <c r="R12" i="5"/>
  <c r="Q12" i="5"/>
  <c r="P12" i="5"/>
  <c r="M12" i="5"/>
  <c r="K12" i="5"/>
  <c r="U11" i="5"/>
  <c r="S11" i="5"/>
  <c r="R11" i="5"/>
  <c r="Q11" i="5"/>
  <c r="P11" i="5"/>
  <c r="M11" i="5"/>
  <c r="K11" i="5"/>
  <c r="U10" i="5"/>
  <c r="S10" i="5"/>
  <c r="Q10" i="5"/>
  <c r="P10" i="5"/>
  <c r="R10" i="5" s="1"/>
  <c r="M10" i="5"/>
  <c r="K10" i="5"/>
  <c r="U9" i="5"/>
  <c r="S9" i="5"/>
  <c r="Q9" i="5"/>
  <c r="P9" i="5"/>
  <c r="R9" i="5" s="1"/>
  <c r="M9" i="5"/>
  <c r="K9" i="5"/>
  <c r="U8" i="5"/>
  <c r="S8" i="5"/>
  <c r="R8" i="5"/>
  <c r="Q8" i="5"/>
  <c r="P8" i="5"/>
  <c r="M8" i="5"/>
  <c r="K8" i="5"/>
  <c r="U7" i="5"/>
  <c r="S7" i="5"/>
  <c r="R7" i="5"/>
  <c r="Q7" i="5"/>
  <c r="P7" i="5"/>
  <c r="M7" i="5"/>
  <c r="K7" i="5"/>
  <c r="U6" i="5"/>
  <c r="S6" i="5"/>
  <c r="Q6" i="5"/>
  <c r="P6" i="5"/>
  <c r="R6" i="5" s="1"/>
  <c r="M6" i="5"/>
  <c r="K6" i="5"/>
  <c r="F16" i="8" s="1"/>
  <c r="G205" i="4"/>
  <c r="F205" i="4"/>
  <c r="E205" i="4"/>
  <c r="D205" i="4"/>
  <c r="G204" i="4"/>
  <c r="F204" i="4"/>
  <c r="E204" i="4"/>
  <c r="D204" i="4"/>
  <c r="G203" i="4"/>
  <c r="F203" i="4"/>
  <c r="E203" i="4"/>
  <c r="D203" i="4"/>
  <c r="G202" i="4"/>
  <c r="F202" i="4"/>
  <c r="E202" i="4"/>
  <c r="D202" i="4"/>
  <c r="G201" i="4"/>
  <c r="F201" i="4"/>
  <c r="E201" i="4"/>
  <c r="D201" i="4"/>
  <c r="G200" i="4"/>
  <c r="F200" i="4"/>
  <c r="E200" i="4"/>
  <c r="D200" i="4"/>
  <c r="G199" i="4"/>
  <c r="F199" i="4"/>
  <c r="E199" i="4"/>
  <c r="D199" i="4"/>
  <c r="G198" i="4"/>
  <c r="F198" i="4"/>
  <c r="E198" i="4"/>
  <c r="D198" i="4"/>
  <c r="G197" i="4"/>
  <c r="F197" i="4"/>
  <c r="E197" i="4"/>
  <c r="D197" i="4"/>
  <c r="G196" i="4"/>
  <c r="F196" i="4"/>
  <c r="E196" i="4"/>
  <c r="D196" i="4"/>
  <c r="G195" i="4"/>
  <c r="F195" i="4"/>
  <c r="E195" i="4"/>
  <c r="D195" i="4"/>
  <c r="G194" i="4"/>
  <c r="F194" i="4"/>
  <c r="E194" i="4"/>
  <c r="D194" i="4"/>
  <c r="G193" i="4"/>
  <c r="F193" i="4"/>
  <c r="E193" i="4"/>
  <c r="D193" i="4"/>
  <c r="G192" i="4"/>
  <c r="F192" i="4"/>
  <c r="E192" i="4"/>
  <c r="D192" i="4"/>
  <c r="G191" i="4"/>
  <c r="F191" i="4"/>
  <c r="E191" i="4"/>
  <c r="D191" i="4"/>
  <c r="G190" i="4"/>
  <c r="F190" i="4"/>
  <c r="E190" i="4"/>
  <c r="D190" i="4"/>
  <c r="G189" i="4"/>
  <c r="F189" i="4"/>
  <c r="E189" i="4"/>
  <c r="D189" i="4"/>
  <c r="G188" i="4"/>
  <c r="F188" i="4"/>
  <c r="E188" i="4"/>
  <c r="D188" i="4"/>
  <c r="G187" i="4"/>
  <c r="F187" i="4"/>
  <c r="E187" i="4"/>
  <c r="D187" i="4"/>
  <c r="G186" i="4"/>
  <c r="F186" i="4"/>
  <c r="E186" i="4"/>
  <c r="D186" i="4"/>
  <c r="G185" i="4"/>
  <c r="F185" i="4"/>
  <c r="E185" i="4"/>
  <c r="D185" i="4"/>
  <c r="G184" i="4"/>
  <c r="F184" i="4"/>
  <c r="E184" i="4"/>
  <c r="D184" i="4"/>
  <c r="G183" i="4"/>
  <c r="F183" i="4"/>
  <c r="E183" i="4"/>
  <c r="D183" i="4"/>
  <c r="G182" i="4"/>
  <c r="F182" i="4"/>
  <c r="E182" i="4"/>
  <c r="D182" i="4"/>
  <c r="G181" i="4"/>
  <c r="F181" i="4"/>
  <c r="E181" i="4"/>
  <c r="D181" i="4"/>
  <c r="G180" i="4"/>
  <c r="F180" i="4"/>
  <c r="E180" i="4"/>
  <c r="D180" i="4"/>
  <c r="G179" i="4"/>
  <c r="F179" i="4"/>
  <c r="E179" i="4"/>
  <c r="D179" i="4"/>
  <c r="G178" i="4"/>
  <c r="F178" i="4"/>
  <c r="E178" i="4"/>
  <c r="D178" i="4"/>
  <c r="G177" i="4"/>
  <c r="F177" i="4"/>
  <c r="E177" i="4"/>
  <c r="D177" i="4"/>
  <c r="G176" i="4"/>
  <c r="F176" i="4"/>
  <c r="E176" i="4"/>
  <c r="D176" i="4"/>
  <c r="G175" i="4"/>
  <c r="F175" i="4"/>
  <c r="E175" i="4"/>
  <c r="D175" i="4"/>
  <c r="G174" i="4"/>
  <c r="F174" i="4"/>
  <c r="E174" i="4"/>
  <c r="D174" i="4"/>
  <c r="G173" i="4"/>
  <c r="F173" i="4"/>
  <c r="E173" i="4"/>
  <c r="D173" i="4"/>
  <c r="G172" i="4"/>
  <c r="F172" i="4"/>
  <c r="E172" i="4"/>
  <c r="D172" i="4"/>
  <c r="G171" i="4"/>
  <c r="F171" i="4"/>
  <c r="E171" i="4"/>
  <c r="D171" i="4"/>
  <c r="G170" i="4"/>
  <c r="F170" i="4"/>
  <c r="E170" i="4"/>
  <c r="D170" i="4"/>
  <c r="G169" i="4"/>
  <c r="F169" i="4"/>
  <c r="E169" i="4"/>
  <c r="D169" i="4"/>
  <c r="G168" i="4"/>
  <c r="F168" i="4"/>
  <c r="E168" i="4"/>
  <c r="D168" i="4"/>
  <c r="G167" i="4"/>
  <c r="F167" i="4"/>
  <c r="E167" i="4"/>
  <c r="D167" i="4"/>
  <c r="G166" i="4"/>
  <c r="F166" i="4"/>
  <c r="E166" i="4"/>
  <c r="D166" i="4"/>
  <c r="G165" i="4"/>
  <c r="F165" i="4"/>
  <c r="E165" i="4"/>
  <c r="D165" i="4"/>
  <c r="G164" i="4"/>
  <c r="F164" i="4"/>
  <c r="E164" i="4"/>
  <c r="D164" i="4"/>
  <c r="G163" i="4"/>
  <c r="F163" i="4"/>
  <c r="E163" i="4"/>
  <c r="D163" i="4"/>
  <c r="G162" i="4"/>
  <c r="F162" i="4"/>
  <c r="E162" i="4"/>
  <c r="D162" i="4"/>
  <c r="G161" i="4"/>
  <c r="F161" i="4"/>
  <c r="E161" i="4"/>
  <c r="D161" i="4"/>
  <c r="G160" i="4"/>
  <c r="F160" i="4"/>
  <c r="E160" i="4"/>
  <c r="D160" i="4"/>
  <c r="G159" i="4"/>
  <c r="F159" i="4"/>
  <c r="E159" i="4"/>
  <c r="D159" i="4"/>
  <c r="G158" i="4"/>
  <c r="F158" i="4"/>
  <c r="E158" i="4"/>
  <c r="D158" i="4"/>
  <c r="G157" i="4"/>
  <c r="F157" i="4"/>
  <c r="E157" i="4"/>
  <c r="D157" i="4"/>
  <c r="G156" i="4"/>
  <c r="F156" i="4"/>
  <c r="E156" i="4"/>
  <c r="D156" i="4"/>
  <c r="G155" i="4"/>
  <c r="F155" i="4"/>
  <c r="E155" i="4"/>
  <c r="D155" i="4"/>
  <c r="G154" i="4"/>
  <c r="F154" i="4"/>
  <c r="E154" i="4"/>
  <c r="D154" i="4"/>
  <c r="G153" i="4"/>
  <c r="F153" i="4"/>
  <c r="E153" i="4"/>
  <c r="D153" i="4"/>
  <c r="G152" i="4"/>
  <c r="F152" i="4"/>
  <c r="E152" i="4"/>
  <c r="D152" i="4"/>
  <c r="G151" i="4"/>
  <c r="F151" i="4"/>
  <c r="E151" i="4"/>
  <c r="D151" i="4"/>
  <c r="G150" i="4"/>
  <c r="F150" i="4"/>
  <c r="E150" i="4"/>
  <c r="D150" i="4"/>
  <c r="G149" i="4"/>
  <c r="F149" i="4"/>
  <c r="E149" i="4"/>
  <c r="D149" i="4"/>
  <c r="G148" i="4"/>
  <c r="F148" i="4"/>
  <c r="E148" i="4"/>
  <c r="D148" i="4"/>
  <c r="G147" i="4"/>
  <c r="F147" i="4"/>
  <c r="E147" i="4"/>
  <c r="D147" i="4"/>
  <c r="G146" i="4"/>
  <c r="F146" i="4"/>
  <c r="E146" i="4"/>
  <c r="D146" i="4"/>
  <c r="G145" i="4"/>
  <c r="F145" i="4"/>
  <c r="E145" i="4"/>
  <c r="D145" i="4"/>
  <c r="G144" i="4"/>
  <c r="F144" i="4"/>
  <c r="E144" i="4"/>
  <c r="D144" i="4"/>
  <c r="G143" i="4"/>
  <c r="F143" i="4"/>
  <c r="E143" i="4"/>
  <c r="D143" i="4"/>
  <c r="G142" i="4"/>
  <c r="F142" i="4"/>
  <c r="E142" i="4"/>
  <c r="D142" i="4"/>
  <c r="G141" i="4"/>
  <c r="F141" i="4"/>
  <c r="E141" i="4"/>
  <c r="D141" i="4"/>
  <c r="G140" i="4"/>
  <c r="F140" i="4"/>
  <c r="E140" i="4"/>
  <c r="D140" i="4"/>
  <c r="G139" i="4"/>
  <c r="F139" i="4"/>
  <c r="E139" i="4"/>
  <c r="D139" i="4"/>
  <c r="G138" i="4"/>
  <c r="F138" i="4"/>
  <c r="E138" i="4"/>
  <c r="D138" i="4"/>
  <c r="G137" i="4"/>
  <c r="F137" i="4"/>
  <c r="E137" i="4"/>
  <c r="D137" i="4"/>
  <c r="G136" i="4"/>
  <c r="F136" i="4"/>
  <c r="E136" i="4"/>
  <c r="D136" i="4"/>
  <c r="G135" i="4"/>
  <c r="F135" i="4"/>
  <c r="E135" i="4"/>
  <c r="D135" i="4"/>
  <c r="G134" i="4"/>
  <c r="F134" i="4"/>
  <c r="E134" i="4"/>
  <c r="D134" i="4"/>
  <c r="G133" i="4"/>
  <c r="F133" i="4"/>
  <c r="E133" i="4"/>
  <c r="D133" i="4"/>
  <c r="G132" i="4"/>
  <c r="F132" i="4"/>
  <c r="E132" i="4"/>
  <c r="D132" i="4"/>
  <c r="G131" i="4"/>
  <c r="F131" i="4"/>
  <c r="E131" i="4"/>
  <c r="D131" i="4"/>
  <c r="G130" i="4"/>
  <c r="F130" i="4"/>
  <c r="E130" i="4"/>
  <c r="D130" i="4"/>
  <c r="G129" i="4"/>
  <c r="F129" i="4"/>
  <c r="E129" i="4"/>
  <c r="D129" i="4"/>
  <c r="G128" i="4"/>
  <c r="F128" i="4"/>
  <c r="E128" i="4"/>
  <c r="D128" i="4"/>
  <c r="G127" i="4"/>
  <c r="F127" i="4"/>
  <c r="E127" i="4"/>
  <c r="D127" i="4"/>
  <c r="G126" i="4"/>
  <c r="F126" i="4"/>
  <c r="E126" i="4"/>
  <c r="D126" i="4"/>
  <c r="G125" i="4"/>
  <c r="F125" i="4"/>
  <c r="E125" i="4"/>
  <c r="D125" i="4"/>
  <c r="G124" i="4"/>
  <c r="F124" i="4"/>
  <c r="E124" i="4"/>
  <c r="D124" i="4"/>
  <c r="G123" i="4"/>
  <c r="F123" i="4"/>
  <c r="E123" i="4"/>
  <c r="D123" i="4"/>
  <c r="G122" i="4"/>
  <c r="F122" i="4"/>
  <c r="E122" i="4"/>
  <c r="D122" i="4"/>
  <c r="G121" i="4"/>
  <c r="F121" i="4"/>
  <c r="E121" i="4"/>
  <c r="D121" i="4"/>
  <c r="G120" i="4"/>
  <c r="F120" i="4"/>
  <c r="E120" i="4"/>
  <c r="D120" i="4"/>
  <c r="G119" i="4"/>
  <c r="F119" i="4"/>
  <c r="E119" i="4"/>
  <c r="D119" i="4"/>
  <c r="G118" i="4"/>
  <c r="F118" i="4"/>
  <c r="E118" i="4"/>
  <c r="D118" i="4"/>
  <c r="G117" i="4"/>
  <c r="F117" i="4"/>
  <c r="E117" i="4"/>
  <c r="D117" i="4"/>
  <c r="G116" i="4"/>
  <c r="F116" i="4"/>
  <c r="E116" i="4"/>
  <c r="D116" i="4"/>
  <c r="G115" i="4"/>
  <c r="F115" i="4"/>
  <c r="E115" i="4"/>
  <c r="D115" i="4"/>
  <c r="G114" i="4"/>
  <c r="F114" i="4"/>
  <c r="E114" i="4"/>
  <c r="D114" i="4"/>
  <c r="G113" i="4"/>
  <c r="F113" i="4"/>
  <c r="E113" i="4"/>
  <c r="D113" i="4"/>
  <c r="G112" i="4"/>
  <c r="F112" i="4"/>
  <c r="E112" i="4"/>
  <c r="D112" i="4"/>
  <c r="G111" i="4"/>
  <c r="F111" i="4"/>
  <c r="E111" i="4"/>
  <c r="D111" i="4"/>
  <c r="G110" i="4"/>
  <c r="F110" i="4"/>
  <c r="E110" i="4"/>
  <c r="D110" i="4"/>
  <c r="G109" i="4"/>
  <c r="F109" i="4"/>
  <c r="E109" i="4"/>
  <c r="D109" i="4"/>
  <c r="G108" i="4"/>
  <c r="F108" i="4"/>
  <c r="E108" i="4"/>
  <c r="D108" i="4"/>
  <c r="G107" i="4"/>
  <c r="F107" i="4"/>
  <c r="E107" i="4"/>
  <c r="D107" i="4"/>
  <c r="G106" i="4"/>
  <c r="F106" i="4"/>
  <c r="E106" i="4"/>
  <c r="D106" i="4"/>
  <c r="G105" i="4"/>
  <c r="F105" i="4"/>
  <c r="E105" i="4"/>
  <c r="D105" i="4"/>
  <c r="G104" i="4"/>
  <c r="F104" i="4"/>
  <c r="E104" i="4"/>
  <c r="D104" i="4"/>
  <c r="G103" i="4"/>
  <c r="F103" i="4"/>
  <c r="E103" i="4"/>
  <c r="D103" i="4"/>
  <c r="G102" i="4"/>
  <c r="F102" i="4"/>
  <c r="E102" i="4"/>
  <c r="D102" i="4"/>
  <c r="G101" i="4"/>
  <c r="F101" i="4"/>
  <c r="E101" i="4"/>
  <c r="D101" i="4"/>
  <c r="G100" i="4"/>
  <c r="F100" i="4"/>
  <c r="E100" i="4"/>
  <c r="D100" i="4"/>
  <c r="G99" i="4"/>
  <c r="F99" i="4"/>
  <c r="E99" i="4"/>
  <c r="D99" i="4"/>
  <c r="G98" i="4"/>
  <c r="F98" i="4"/>
  <c r="E98" i="4"/>
  <c r="D98" i="4"/>
  <c r="G97" i="4"/>
  <c r="F97" i="4"/>
  <c r="E97" i="4"/>
  <c r="D97" i="4"/>
  <c r="G96" i="4"/>
  <c r="F96" i="4"/>
  <c r="E96" i="4"/>
  <c r="D96" i="4"/>
  <c r="G95" i="4"/>
  <c r="F95" i="4"/>
  <c r="E95" i="4"/>
  <c r="D95" i="4"/>
  <c r="G94" i="4"/>
  <c r="F94" i="4"/>
  <c r="E94" i="4"/>
  <c r="D94" i="4"/>
  <c r="G93" i="4"/>
  <c r="F93" i="4"/>
  <c r="E93" i="4"/>
  <c r="D93" i="4"/>
  <c r="G92" i="4"/>
  <c r="F92" i="4"/>
  <c r="E92" i="4"/>
  <c r="D92" i="4"/>
  <c r="G91" i="4"/>
  <c r="F91" i="4"/>
  <c r="E91" i="4"/>
  <c r="D91" i="4"/>
  <c r="G90" i="4"/>
  <c r="F90" i="4"/>
  <c r="E90" i="4"/>
  <c r="D90" i="4"/>
  <c r="G89" i="4"/>
  <c r="F89" i="4"/>
  <c r="E89" i="4"/>
  <c r="D89" i="4"/>
  <c r="G88" i="4"/>
  <c r="F88" i="4"/>
  <c r="E88" i="4"/>
  <c r="D88" i="4"/>
  <c r="G87" i="4"/>
  <c r="F87" i="4"/>
  <c r="E87" i="4"/>
  <c r="D87" i="4"/>
  <c r="G86" i="4"/>
  <c r="F86" i="4"/>
  <c r="E86" i="4"/>
  <c r="D86" i="4"/>
  <c r="G85" i="4"/>
  <c r="F85" i="4"/>
  <c r="E85" i="4"/>
  <c r="D85" i="4"/>
  <c r="G84" i="4"/>
  <c r="F84" i="4"/>
  <c r="E84" i="4"/>
  <c r="D84" i="4"/>
  <c r="G83" i="4"/>
  <c r="F83" i="4"/>
  <c r="E83" i="4"/>
  <c r="D83" i="4"/>
  <c r="G82" i="4"/>
  <c r="F82" i="4"/>
  <c r="E82" i="4"/>
  <c r="D82" i="4"/>
  <c r="G81" i="4"/>
  <c r="F81" i="4"/>
  <c r="E81" i="4"/>
  <c r="D81" i="4"/>
  <c r="G80" i="4"/>
  <c r="F80" i="4"/>
  <c r="E80" i="4"/>
  <c r="D80" i="4"/>
  <c r="G79" i="4"/>
  <c r="F79" i="4"/>
  <c r="E79" i="4"/>
  <c r="D79" i="4"/>
  <c r="G78" i="4"/>
  <c r="F78" i="4"/>
  <c r="E78" i="4"/>
  <c r="D78" i="4"/>
  <c r="G77" i="4"/>
  <c r="F77" i="4"/>
  <c r="E77" i="4"/>
  <c r="D77" i="4"/>
  <c r="G76" i="4"/>
  <c r="F76" i="4"/>
  <c r="E76" i="4"/>
  <c r="D76" i="4"/>
  <c r="G75" i="4"/>
  <c r="F75" i="4"/>
  <c r="E75" i="4"/>
  <c r="D75" i="4"/>
  <c r="G74" i="4"/>
  <c r="F74" i="4"/>
  <c r="E74" i="4"/>
  <c r="D74" i="4"/>
  <c r="G73" i="4"/>
  <c r="F73" i="4"/>
  <c r="E73" i="4"/>
  <c r="D73" i="4"/>
  <c r="G72" i="4"/>
  <c r="F72" i="4"/>
  <c r="E72" i="4"/>
  <c r="D72" i="4"/>
  <c r="G71" i="4"/>
  <c r="F71" i="4"/>
  <c r="E71" i="4"/>
  <c r="D71" i="4"/>
  <c r="G70" i="4"/>
  <c r="F70" i="4"/>
  <c r="E70" i="4"/>
  <c r="D70" i="4"/>
  <c r="G69" i="4"/>
  <c r="F69" i="4"/>
  <c r="E69" i="4"/>
  <c r="D69" i="4"/>
  <c r="G68" i="4"/>
  <c r="F68" i="4"/>
  <c r="E68" i="4"/>
  <c r="D68" i="4"/>
  <c r="G67" i="4"/>
  <c r="F67" i="4"/>
  <c r="E67" i="4"/>
  <c r="D67" i="4"/>
  <c r="G66" i="4"/>
  <c r="F66" i="4"/>
  <c r="E66" i="4"/>
  <c r="D66" i="4"/>
  <c r="G65" i="4"/>
  <c r="F65" i="4"/>
  <c r="E65" i="4"/>
  <c r="D65" i="4"/>
  <c r="G64" i="4"/>
  <c r="F64" i="4"/>
  <c r="E64" i="4"/>
  <c r="D64" i="4"/>
  <c r="G63" i="4"/>
  <c r="F63" i="4"/>
  <c r="E63" i="4"/>
  <c r="D63" i="4"/>
  <c r="G62" i="4"/>
  <c r="F62" i="4"/>
  <c r="E62" i="4"/>
  <c r="D62" i="4"/>
  <c r="G61" i="4"/>
  <c r="F61" i="4"/>
  <c r="E61" i="4"/>
  <c r="D61" i="4"/>
  <c r="G60" i="4"/>
  <c r="F60" i="4"/>
  <c r="E60" i="4"/>
  <c r="D60" i="4"/>
  <c r="G59" i="4"/>
  <c r="F59" i="4"/>
  <c r="E59" i="4"/>
  <c r="D59" i="4"/>
  <c r="G58" i="4"/>
  <c r="F58" i="4"/>
  <c r="E58" i="4"/>
  <c r="D58" i="4"/>
  <c r="G57" i="4"/>
  <c r="F57" i="4"/>
  <c r="E57" i="4"/>
  <c r="D57" i="4"/>
  <c r="G56" i="4"/>
  <c r="F56" i="4"/>
  <c r="E56" i="4"/>
  <c r="D56" i="4"/>
  <c r="G55" i="4"/>
  <c r="F55" i="4"/>
  <c r="E55" i="4"/>
  <c r="D55" i="4"/>
  <c r="G54" i="4"/>
  <c r="F54" i="4"/>
  <c r="E54" i="4"/>
  <c r="D54" i="4"/>
  <c r="G53" i="4"/>
  <c r="F53" i="4"/>
  <c r="E53" i="4"/>
  <c r="D53" i="4"/>
  <c r="G52" i="4"/>
  <c r="F52" i="4"/>
  <c r="E52" i="4"/>
  <c r="D52" i="4"/>
  <c r="G51" i="4"/>
  <c r="F51" i="4"/>
  <c r="E51" i="4"/>
  <c r="D51" i="4"/>
  <c r="G50" i="4"/>
  <c r="F50" i="4"/>
  <c r="E50" i="4"/>
  <c r="D50" i="4"/>
  <c r="G49" i="4"/>
  <c r="F49" i="4"/>
  <c r="E49" i="4"/>
  <c r="D49" i="4"/>
  <c r="G48" i="4"/>
  <c r="F48" i="4"/>
  <c r="E48" i="4"/>
  <c r="D48" i="4"/>
  <c r="G47" i="4"/>
  <c r="F47" i="4"/>
  <c r="E47" i="4"/>
  <c r="D47" i="4"/>
  <c r="G46" i="4"/>
  <c r="F46" i="4"/>
  <c r="E46" i="4"/>
  <c r="D46" i="4"/>
  <c r="G45" i="4"/>
  <c r="F45" i="4"/>
  <c r="E45" i="4"/>
  <c r="D45" i="4"/>
  <c r="G44" i="4"/>
  <c r="F44" i="4"/>
  <c r="E44" i="4"/>
  <c r="D44" i="4"/>
  <c r="G43" i="4"/>
  <c r="F43" i="4"/>
  <c r="E43" i="4"/>
  <c r="D43" i="4"/>
  <c r="G42" i="4"/>
  <c r="F42" i="4"/>
  <c r="E42" i="4"/>
  <c r="D42" i="4"/>
  <c r="G41" i="4"/>
  <c r="F41" i="4"/>
  <c r="E41" i="4"/>
  <c r="D41" i="4"/>
  <c r="G40" i="4"/>
  <c r="F40" i="4"/>
  <c r="E40" i="4"/>
  <c r="D40" i="4"/>
  <c r="G39" i="4"/>
  <c r="F39" i="4"/>
  <c r="E39" i="4"/>
  <c r="D39" i="4"/>
  <c r="G38" i="4"/>
  <c r="F38" i="4"/>
  <c r="E38" i="4"/>
  <c r="D38" i="4"/>
  <c r="G37" i="4"/>
  <c r="F37" i="4"/>
  <c r="E37" i="4"/>
  <c r="D37" i="4"/>
  <c r="G36" i="4"/>
  <c r="F36" i="4"/>
  <c r="E36" i="4"/>
  <c r="D36" i="4"/>
  <c r="G35" i="4"/>
  <c r="F35" i="4"/>
  <c r="E35" i="4"/>
  <c r="D35" i="4"/>
  <c r="G34" i="4"/>
  <c r="F34" i="4"/>
  <c r="E34" i="4"/>
  <c r="D34" i="4"/>
  <c r="G33" i="4"/>
  <c r="F33" i="4"/>
  <c r="E33" i="4"/>
  <c r="D33" i="4"/>
  <c r="G32" i="4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E14" i="8" l="1"/>
  <c r="H15" i="8"/>
  <c r="G16" i="8"/>
  <c r="F14" i="8"/>
  <c r="E15" i="8"/>
  <c r="H16" i="8"/>
  <c r="G14" i="8"/>
  <c r="F15" i="8"/>
  <c r="E16" i="8"/>
  <c r="H14" i="8"/>
  <c r="G15" i="8"/>
</calcChain>
</file>

<file path=xl/sharedStrings.xml><?xml version="1.0" encoding="utf-8"?>
<sst xmlns="http://schemas.openxmlformats.org/spreadsheetml/2006/main" count="1286" uniqueCount="815">
  <si>
    <t>PrePal Undergraduate User Acceptance Testing Workbook</t>
  </si>
  <si>
    <t>A structured template for recording functional testing, tri-model GPA validation, usability feedback, and defects.</t>
  </si>
  <si>
    <t>How to use this workbook</t>
  </si>
  <si>
    <t>1</t>
  </si>
  <si>
    <t>Assign an anonymous Participant Code</t>
  </si>
  <si>
    <t>Use codes such as UAT-001. Do not record a student's name, campus ID, password, or private mental-health details in this workbook.</t>
  </si>
  <si>
    <t>2</t>
  </si>
  <si>
    <t>Register the test device</t>
  </si>
  <si>
    <t>Complete one row in Test Participants, including degree programme, batch/year, Android version, and device model.</t>
  </si>
  <si>
    <t>3</t>
  </si>
  <si>
    <t>Select test cases</t>
  </si>
  <si>
    <t>Use the Core test cases first. Extended cases are useful for additional boundary, reliability, security, and compatibility testing.</t>
  </si>
  <si>
    <t>4</t>
  </si>
  <si>
    <t>Execute and record</t>
  </si>
  <si>
    <t>Create a row in Test Execution for each test performed. Select the Test Case ID; area, model, steps, and expected result populate automatically.</t>
  </si>
  <si>
    <t>5</t>
  </si>
  <si>
    <t>Validate all three GPA models</t>
  </si>
  <si>
    <t>Run the prepared scenarios in Model Validation. Record the model selected by the app, two prediction runs, warnings shown, and explanation helpfulness.</t>
  </si>
  <si>
    <t>6</t>
  </si>
  <si>
    <t>Collect usability feedback</t>
  </si>
  <si>
    <t>Each participant completes one row in Usability Feedback using the 1–5 scale. Question wording is in Lists &amp; Guide.</t>
  </si>
  <si>
    <t>7</t>
  </si>
  <si>
    <t>Log defects</t>
  </si>
  <si>
    <t>For every failed case, create a Defect ID in Defect Log and copy that ID back to the Test Execution row.</t>
  </si>
  <si>
    <t>8</t>
  </si>
  <si>
    <t>Review results</t>
  </si>
  <si>
    <t>Dashboard formulas update automatically as testing records are added.</t>
  </si>
  <si>
    <t>Tri-model routing used in this workbook</t>
  </si>
  <si>
    <t>Model</t>
  </si>
  <si>
    <t>Student stage</t>
  </si>
  <si>
    <t>Data availability</t>
  </si>
  <si>
    <t>Expected routing</t>
  </si>
  <si>
    <t>Model A</t>
  </si>
  <si>
    <t>Pre-CA / baseline stage</t>
  </si>
  <si>
    <t>Current CA marks are not yet available</t>
  </si>
  <si>
    <t>The app selects the baseline prediction model</t>
  </si>
  <si>
    <t>Model B</t>
  </si>
  <si>
    <t>New student at mid-semester</t>
  </si>
  <si>
    <t>CA marks are available but no previous university GPA exists</t>
  </si>
  <si>
    <t>The app selects the new-student mid-semester model</t>
  </si>
  <si>
    <t>Model C</t>
  </si>
  <si>
    <t>Returning student at mid-semester</t>
  </si>
  <si>
    <t>Previous GPA and current CA marks are both available</t>
  </si>
  <si>
    <t>The app selects the comprehensive returning-student model</t>
  </si>
  <si>
    <t>Important: Confirm the three model-routing definitions above against the final deployed PrePal build before formal data collection. If your final implementation uses different input availability, update the catalogue and Model Validation rules first.</t>
  </si>
  <si>
    <t>Result and severity definitions</t>
  </si>
  <si>
    <t>Term</t>
  </si>
  <si>
    <t>Meaning</t>
  </si>
  <si>
    <t>Pass</t>
  </si>
  <si>
    <t>Actual result matches the expected result.</t>
  </si>
  <si>
    <t>Critical</t>
  </si>
  <si>
    <t>Crash, data exposure, account crossover, or prediction feature cannot be used.</t>
  </si>
  <si>
    <t>Fail</t>
  </si>
  <si>
    <t>Actual result does not match the expected result.</t>
  </si>
  <si>
    <t>High</t>
  </si>
  <si>
    <t>Major feature fails; no reasonable workaround.</t>
  </si>
  <si>
    <t>Blocked</t>
  </si>
  <si>
    <t>The case cannot be completed because another issue prevents it.</t>
  </si>
  <si>
    <t>Medium</t>
  </si>
  <si>
    <t>Feature is impaired, but a workaround exists.</t>
  </si>
  <si>
    <t>Not Applicable</t>
  </si>
  <si>
    <t>The test does not apply to this participant/device/model.</t>
  </si>
  <si>
    <t>Low</t>
  </si>
  <si>
    <t>Minor visual, wording, or convenience issue.</t>
  </si>
  <si>
    <t>Not Run</t>
  </si>
  <si>
    <t>The test has not yet been executed.</t>
  </si>
  <si>
    <t>Retest</t>
  </si>
  <si>
    <t>Run the failed case again after the defect is fixed.</t>
  </si>
  <si>
    <t>Ethics note: Use synthetic DASS-21 answers and synthetic academic values for system testing. The workbook is for software evaluation, not clinical diagnosis. Any real participant distress should be handled through the campus's approved support process.</t>
  </si>
  <si>
    <t>Test Participants</t>
  </si>
  <si>
    <t>One anonymous row per undergraduate tester. Avoid names, student IDs, passwords, and identifiable mental-health information.</t>
  </si>
  <si>
    <t>Input cells are intentionally left blank. Use Participant Codes such as UAT-001, UAT-002, and so on.</t>
  </si>
  <si>
    <t>Participant Code</t>
  </si>
  <si>
    <t>Degree Programme</t>
  </si>
  <si>
    <t>Batch</t>
  </si>
  <si>
    <t>Year of Study</t>
  </si>
  <si>
    <t>Semester</t>
  </si>
  <si>
    <t>Android Version</t>
  </si>
  <si>
    <t>Device Model</t>
  </si>
  <si>
    <t>Prior GPA-tool Experience</t>
  </si>
  <si>
    <t>Consent Confirmed</t>
  </si>
  <si>
    <t>Test Date</t>
  </si>
  <si>
    <t>Execution Completion %</t>
  </si>
  <si>
    <t>PrePal Student-App Test Case Catalogue</t>
  </si>
  <si>
    <t>Core and extended test cases for undergraduate user acceptance testing. Administrator-only functions are outside this catalogue.</t>
  </si>
  <si>
    <t>Core = recommended for every participant. Extended = run on selected devices/participants or by the researcher for deeper coverage.</t>
  </si>
  <si>
    <t>Test Case ID</t>
  </si>
  <si>
    <t>Area</t>
  </si>
  <si>
    <t>Feature</t>
  </si>
  <si>
    <t>Applicable Model</t>
  </si>
  <si>
    <t>Test Type</t>
  </si>
  <si>
    <t>Priority</t>
  </si>
  <si>
    <t>Preconditions</t>
  </si>
  <si>
    <t>Test Data</t>
  </si>
  <si>
    <t>Test Steps</t>
  </si>
  <si>
    <t>Expected Result</t>
  </si>
  <si>
    <t>Requirement / Rule</t>
  </si>
  <si>
    <t>Run Group</t>
  </si>
  <si>
    <t>Notes</t>
  </si>
  <si>
    <t>TC-001</t>
  </si>
  <si>
    <t>Access</t>
  </si>
  <si>
    <t>App launch</t>
  </si>
  <si>
    <t>All</t>
  </si>
  <si>
    <t>Positive</t>
  </si>
  <si>
    <t>PrePal is installed on a supported Android device.</t>
  </si>
  <si>
    <t>None</t>
  </si>
  <si>
    <t>Open PrePal from the device launcher.</t>
  </si>
  <si>
    <t>The app opens without crashing and shows the correct first screen.</t>
  </si>
  <si>
    <t>Availability</t>
  </si>
  <si>
    <t>Core</t>
  </si>
  <si>
    <t>Record launch time if noticeably slow.</t>
  </si>
  <si>
    <t>TC-002</t>
  </si>
  <si>
    <t>Valid student login</t>
  </si>
  <si>
    <t>An active student test account exists.</t>
  </si>
  <si>
    <t>Valid test username and password</t>
  </si>
  <si>
    <t>Enter valid credentials and select Login.</t>
  </si>
  <si>
    <t>The student is authenticated and the student home screen opens.</t>
  </si>
  <si>
    <t>Authentication</t>
  </si>
  <si>
    <t>Use only a test account.</t>
  </si>
  <si>
    <t>TC-003</t>
  </si>
  <si>
    <t>Invalid password</t>
  </si>
  <si>
    <t>Negative</t>
  </si>
  <si>
    <t>A valid student test account exists.</t>
  </si>
  <si>
    <t>Valid username; incorrect password</t>
  </si>
  <si>
    <t>Attempt login with the wrong password.</t>
  </si>
  <si>
    <t>Access is denied and a clear, non-sensitive error is displayed.</t>
  </si>
  <si>
    <t>Authentication security</t>
  </si>
  <si>
    <t>The error must not reveal the stored password.</t>
  </si>
  <si>
    <t>TC-004</t>
  </si>
  <si>
    <t>Missing login field</t>
  </si>
  <si>
    <t>Login screen is open.</t>
  </si>
  <si>
    <t>Blank username or password</t>
  </si>
  <si>
    <t>Leave one required field blank and select Login.</t>
  </si>
  <si>
    <t>Submission is prevented and the missing field is identified.</t>
  </si>
  <si>
    <t>Input validation</t>
  </si>
  <si>
    <t>TC-005</t>
  </si>
  <si>
    <t>Logout and session closure</t>
  </si>
  <si>
    <t>Security</t>
  </si>
  <si>
    <t>The student is logged in.</t>
  </si>
  <si>
    <t>Log out, then use Back or reopen a protected screen.</t>
  </si>
  <si>
    <t>The session is closed and protected student data cannot be reopened without login.</t>
  </si>
  <si>
    <t>Session security</t>
  </si>
  <si>
    <t>TC-006</t>
  </si>
  <si>
    <t>Questionnaire</t>
  </si>
  <si>
    <t>Required questions displayed</t>
  </si>
  <si>
    <t>The student is logged in and prediction questionnaire is available.</t>
  </si>
  <si>
    <t>Open the academic questionnaire and review all sections.</t>
  </si>
  <si>
    <t>All academic, behavioral, sleep, and DASS-21 items required by the selected flow are visible and understandable.</t>
  </si>
  <si>
    <t>Complete data collection</t>
  </si>
  <si>
    <t>TC-007</t>
  </si>
  <si>
    <t>Blank required answer</t>
  </si>
  <si>
    <t>Questionnaire is open.</t>
  </si>
  <si>
    <t>Leave one mandatory item unanswered</t>
  </si>
  <si>
    <t>Attempt to continue or submit.</t>
  </si>
  <si>
    <t>Submission is prevented and the unanswered item is clearly identified.</t>
  </si>
  <si>
    <t>Completeness validation</t>
  </si>
  <si>
    <t>TC-008</t>
  </si>
  <si>
    <t>Academic numeric ranges</t>
  </si>
  <si>
    <t>Boundary</t>
  </si>
  <si>
    <t>Use values outside configured limits</t>
  </si>
  <si>
    <t>Enter an out-of-range GPA, mark, attendance, study-hour, or sleep value.</t>
  </si>
  <si>
    <t>The invalid value is rejected or a clear correction message is shown.</t>
  </si>
  <si>
    <t>Range validation</t>
  </si>
  <si>
    <t>TC-009</t>
  </si>
  <si>
    <t>Decimal input handling</t>
  </si>
  <si>
    <t>GPA 3.45; attendance 79.9; sleep 7.5</t>
  </si>
  <si>
    <t>Enter valid decimal values and continue.</t>
  </si>
  <si>
    <t>Valid decimal values are accepted without unintended rounding before prediction.</t>
  </si>
  <si>
    <t>Numeric precision</t>
  </si>
  <si>
    <t>Extended</t>
  </si>
  <si>
    <t>TC-010</t>
  </si>
  <si>
    <t>Valid CA marks</t>
  </si>
  <si>
    <t>Model B / Model C</t>
  </si>
  <si>
    <t>The mid-semester questionnaire is open.</t>
  </si>
  <si>
    <t>Mid mark 16/20; assignment mark 17/20</t>
  </si>
  <si>
    <t>Enter both marks and continue.</t>
  </si>
  <si>
    <t>Both valid marks are accepted and used in the applicable model.</t>
  </si>
  <si>
    <t>CA input</t>
  </si>
  <si>
    <t>TC-011</t>
  </si>
  <si>
    <t>Invalid CA marks</t>
  </si>
  <si>
    <t>-1 or 21 when each mark is out of 20</t>
  </si>
  <si>
    <t>Enter invalid CA marks and submit.</t>
  </si>
  <si>
    <t>Submission is prevented and the allowed mark range is explained.</t>
  </si>
  <si>
    <t>CA range validation</t>
  </si>
  <si>
    <t>TC-012</t>
  </si>
  <si>
    <t>Updated answers refresh output</t>
  </si>
  <si>
    <t>Reliability</t>
  </si>
  <si>
    <t>A prediction has already been generated.</t>
  </si>
  <si>
    <t>Change attendance or study hours</t>
  </si>
  <si>
    <t>Edit one input and generate the prediction again.</t>
  </si>
  <si>
    <t>The new prediction, reasons, and warnings reflect the revised values rather than stale data.</t>
  </si>
  <si>
    <t>Data freshness</t>
  </si>
  <si>
    <t>TC-013</t>
  </si>
  <si>
    <t>Model Routing</t>
  </si>
  <si>
    <t>Pre-CA profile routes to Model A</t>
  </si>
  <si>
    <t>Functional</t>
  </si>
  <si>
    <t>A profile is created without current CA marks.</t>
  </si>
  <si>
    <t>No mid or assignment marks</t>
  </si>
  <si>
    <t>Complete the available baseline inputs and request a prediction.</t>
  </si>
  <si>
    <t>The app selects Model A and does not require current CA marks.</t>
  </si>
  <si>
    <t>Lifecycle-sensitive routing</t>
  </si>
  <si>
    <t>Confirm against final build.</t>
  </si>
  <si>
    <t>TC-014</t>
  </si>
  <si>
    <t>New student with CA routes to Model B</t>
  </si>
  <si>
    <t>A new student has current CA marks but no previous university GPA.</t>
  </si>
  <si>
    <t>Mid 15; assignment 14; previous GPA unavailable</t>
  </si>
  <si>
    <t>Complete the questionnaire and request a prediction.</t>
  </si>
  <si>
    <t>The app selects Model B and generates a result without demanding a previous GPA.</t>
  </si>
  <si>
    <t>TC-015</t>
  </si>
  <si>
    <t>Returning student with GPA and CA routes to Model C</t>
  </si>
  <si>
    <t>A returning student has previous GPA and current CA marks.</t>
  </si>
  <si>
    <t>Previous GPA 3.10; mid 15; assignment 16</t>
  </si>
  <si>
    <t>The app selects Model C and includes both historical GPA and current CA data.</t>
  </si>
  <si>
    <t>TC-016</t>
  </si>
  <si>
    <t>Incomplete model inputs</t>
  </si>
  <si>
    <t>Only part of the model-specific data is entered.</t>
  </si>
  <si>
    <t>Mid mark entered; assignment mark blank</t>
  </si>
  <si>
    <t>Request a prediction.</t>
  </si>
  <si>
    <t>The app identifies the missing model input and does not silently route using incomplete data.</t>
  </si>
  <si>
    <t>Routing validation</t>
  </si>
  <si>
    <t>TC-017</t>
  </si>
  <si>
    <t>GPA Prediction</t>
  </si>
  <si>
    <t>Model A standard profile</t>
  </si>
  <si>
    <t>Model A is selected.</t>
  </si>
  <si>
    <t>Attendance 85%; adequate study; sleep 7.5; low/moderate stress</t>
  </si>
  <si>
    <t>Generate a baseline prediction.</t>
  </si>
  <si>
    <t>A numeric GPA between 0.00 and 4.00 is returned with the model name and explanation.</t>
  </si>
  <si>
    <t>Prediction output</t>
  </si>
  <si>
    <t>TC-018</t>
  </si>
  <si>
    <t>Model A strong profile</t>
  </si>
  <si>
    <t>Attendance 95%; strong study; sleep 8; low stress</t>
  </si>
  <si>
    <t>Generate a prediction and review explanations.</t>
  </si>
  <si>
    <t>The result is within GPA limits and positive factors are reflected in the explanation.</t>
  </si>
  <si>
    <t>Prediction reasonableness</t>
  </si>
  <si>
    <t>Do not expect an exact GPA without model coefficients.</t>
  </si>
  <si>
    <t>TC-019</t>
  </si>
  <si>
    <t>Model A at-risk profile</t>
  </si>
  <si>
    <t>Attendance 70%; low study; sleep 5; elevated stress</t>
  </si>
  <si>
    <t>Generate a prediction and review warnings.</t>
  </si>
  <si>
    <t>The result remains within GPA limits and relevant risk factors are highlighted.</t>
  </si>
  <si>
    <t>Risk identification</t>
  </si>
  <si>
    <t>TC-020</t>
  </si>
  <si>
    <t>Model A repeated input</t>
  </si>
  <si>
    <t>A Model A prediction can be generated.</t>
  </si>
  <si>
    <t>Use identical inputs twice</t>
  </si>
  <si>
    <t>Generate twice without changing any value.</t>
  </si>
  <si>
    <t>Both runs return the same GPA within an accepted display tolerance of 0.01.</t>
  </si>
  <si>
    <t>Deterministic inference</t>
  </si>
  <si>
    <t>TC-021</t>
  </si>
  <si>
    <t>Model A explanation</t>
  </si>
  <si>
    <t>Usability</t>
  </si>
  <si>
    <t>A Model A prediction is displayed.</t>
  </si>
  <si>
    <t>Open the reasons or explanation section.</t>
  </si>
  <si>
    <t>The explanation names understandable factors and does not claim certainty about the final result.</t>
  </si>
  <si>
    <t>Explainability</t>
  </si>
  <si>
    <t>TC-022</t>
  </si>
  <si>
    <t>Model A GPA limit</t>
  </si>
  <si>
    <t>Use extreme but valid inputs</t>
  </si>
  <si>
    <t>Generate a prediction.</t>
  </si>
  <si>
    <t>The displayed GPA is never below 0.00 or above 4.00.</t>
  </si>
  <si>
    <t>GPA scale 0–4</t>
  </si>
  <si>
    <t>TC-023</t>
  </si>
  <si>
    <t>Model B standard profile</t>
  </si>
  <si>
    <t>Model B is selected.</t>
  </si>
  <si>
    <t>Mid 14; assignment 15; attendance 85%; balanced behavior</t>
  </si>
  <si>
    <t>A numeric GPA from 0.00 to 4.00 is returned and Model B is identified.</t>
  </si>
  <si>
    <t>TC-024</t>
  </si>
  <si>
    <t>Model B minimum CA boundary</t>
  </si>
  <si>
    <t>Mid 0; assignment 0</t>
  </si>
  <si>
    <t>Zero marks are accepted as valid boundary values and the output remains within the GPA scale.</t>
  </si>
  <si>
    <t>CA boundary</t>
  </si>
  <si>
    <t>TC-025</t>
  </si>
  <si>
    <t>Model B maximum CA boundary</t>
  </si>
  <si>
    <t>Mid 20; assignment 20</t>
  </si>
  <si>
    <t>Maximum valid marks are accepted and the output does not exceed 4.00.</t>
  </si>
  <si>
    <t>TC-026</t>
  </si>
  <si>
    <t>Model B negative CA value</t>
  </si>
  <si>
    <t>Model B questionnaire is open.</t>
  </si>
  <si>
    <t>Mid -1</t>
  </si>
  <si>
    <t>Attempt to continue.</t>
  </si>
  <si>
    <t>The negative value is rejected before prediction.</t>
  </si>
  <si>
    <t>CA validation</t>
  </si>
  <si>
    <t>TC-027</t>
  </si>
  <si>
    <t>Model B CA above maximum</t>
  </si>
  <si>
    <t>Assignment 21/20</t>
  </si>
  <si>
    <t>The value above the maximum is rejected before prediction.</t>
  </si>
  <si>
    <t>TC-028</t>
  </si>
  <si>
    <t>Model B repeatability</t>
  </si>
  <si>
    <t>A Model B prediction can be generated.</t>
  </si>
  <si>
    <t>Use identical valid inputs twice</t>
  </si>
  <si>
    <t>Generate the prediction twice.</t>
  </si>
  <si>
    <t>The two GPA results match within 0.01 and warnings do not change unexpectedly.</t>
  </si>
  <si>
    <t>TC-029</t>
  </si>
  <si>
    <t>Model B explanation</t>
  </si>
  <si>
    <t>A Model B result is displayed.</t>
  </si>
  <si>
    <t>Review the prediction explanation.</t>
  </si>
  <si>
    <t>The explanation appropriately refers to current CA and behavioral factors, without referring to a nonexistent previous GPA.</t>
  </si>
  <si>
    <t>TC-030</t>
  </si>
  <si>
    <t>Model C standard profile</t>
  </si>
  <si>
    <t>Model C is selected.</t>
  </si>
  <si>
    <t>Previous GPA 3.10; mid 15; assignment 16; attendance 88%</t>
  </si>
  <si>
    <t>A numeric GPA from 0.00 to 4.00 is returned and Model C is identified.</t>
  </si>
  <si>
    <t>TC-031</t>
  </si>
  <si>
    <t>Model C previous GPA minimum</t>
  </si>
  <si>
    <t>Previous GPA 0.00; valid CA and behavior</t>
  </si>
  <si>
    <t>A previous GPA of 0.00 is accepted as a valid boundary and output stays within range.</t>
  </si>
  <si>
    <t>GPA boundary</t>
  </si>
  <si>
    <t>TC-032</t>
  </si>
  <si>
    <t>Model C previous GPA maximum</t>
  </si>
  <si>
    <t>Previous GPA 4.00; valid CA and behavior</t>
  </si>
  <si>
    <t>A previous GPA of 4.00 is accepted and the prediction does not exceed 4.00.</t>
  </si>
  <si>
    <t>TC-033</t>
  </si>
  <si>
    <t>Model C invalid previous GPA</t>
  </si>
  <si>
    <t>Model C questionnaire is open.</t>
  </si>
  <si>
    <t>Previous GPA 4.10 or -0.10</t>
  </si>
  <si>
    <t>The invalid GPA is rejected and the 0.00–4.00 range is explained.</t>
  </si>
  <si>
    <t>GPA validation</t>
  </si>
  <si>
    <t>TC-034</t>
  </si>
  <si>
    <t>Model C strong profile</t>
  </si>
  <si>
    <t>Previous GPA 3.70; CA 18/20 and 18/20; attendance 95%</t>
  </si>
  <si>
    <t>Generate and review the result.</t>
  </si>
  <si>
    <t>The output is within range and the explanation recognizes strong historical, CA, and behavioral inputs.</t>
  </si>
  <si>
    <t>TC-035</t>
  </si>
  <si>
    <t>Model C risk profile</t>
  </si>
  <si>
    <t>Previous GPA 2.00; low CA; attendance 70%; low sleep; elevated stress</t>
  </si>
  <si>
    <t>The output is within range and multiple relevant risks are communicated clearly.</t>
  </si>
  <si>
    <t>TC-036</t>
  </si>
  <si>
    <t>Model C repeatability</t>
  </si>
  <si>
    <t>A Model C prediction can be generated.</t>
  </si>
  <si>
    <t>The two GPA results match within 0.01.</t>
  </si>
  <si>
    <t>TC-037</t>
  </si>
  <si>
    <t>Warnings</t>
  </si>
  <si>
    <t>Attendance exactly 80%</t>
  </si>
  <si>
    <t>A prediction questionnaire is open.</t>
  </si>
  <si>
    <t>Attendance 80.0%</t>
  </si>
  <si>
    <t>Generate the result.</t>
  </si>
  <si>
    <t>The app does not label the student as below the 80% institutional attendance threshold.</t>
  </si>
  <si>
    <t>Saegis attendance boundary</t>
  </si>
  <si>
    <t>TC-038</t>
  </si>
  <si>
    <t>Attendance below 80%</t>
  </si>
  <si>
    <t>Attendance 79.9%</t>
  </si>
  <si>
    <t>A clear attendance-risk or exam-eligibility warning is shown.</t>
  </si>
  <si>
    <t>Saegis attendance threshold</t>
  </si>
  <si>
    <t>TC-039</t>
  </si>
  <si>
    <t>High attendance</t>
  </si>
  <si>
    <t>Attendance 90% or above</t>
  </si>
  <si>
    <t>No incorrect below-threshold warning is shown; attendance may be recognized positively.</t>
  </si>
  <si>
    <t>Warning accuracy</t>
  </si>
  <si>
    <t>TC-040</t>
  </si>
  <si>
    <t>Study hours below configured SLQF expectation</t>
  </si>
  <si>
    <t>The student's semester/credit context is available.</t>
  </si>
  <si>
    <t>A value below the app's calculated weekly expectation</t>
  </si>
  <si>
    <t>The app displays the configured study-effort warning and explains the expected benchmark.</t>
  </si>
  <si>
    <t>SLQF-based warning</t>
  </si>
  <si>
    <t>Verify the deployed credit-based calculation.</t>
  </si>
  <si>
    <t>TC-041</t>
  </si>
  <si>
    <t>Study hours meet configured expectation</t>
  </si>
  <si>
    <t>A value equal to or above the app's calculated weekly expectation</t>
  </si>
  <si>
    <t>No incorrect below-expectation warning is shown.</t>
  </si>
  <si>
    <t>TC-042</t>
  </si>
  <si>
    <t>Recommended sleep range</t>
  </si>
  <si>
    <t>Sleep 7.0–9.0 hours/day</t>
  </si>
  <si>
    <t>No incorrect insufficient-sleep warning is shown for a value inside the configured healthy range.</t>
  </si>
  <si>
    <t>Sleep warning</t>
  </si>
  <si>
    <t>TC-043</t>
  </si>
  <si>
    <t>Low sleep</t>
  </si>
  <si>
    <t>Sleep 6.9 hours/day or lower</t>
  </si>
  <si>
    <t>A clear sleep-related risk or guidance message is shown.</t>
  </si>
  <si>
    <t>TC-044</t>
  </si>
  <si>
    <t>Multiple simultaneous risks</t>
  </si>
  <si>
    <t>Attendance below 80%; low study; low sleep; elevated stress</t>
  </si>
  <si>
    <t>All applicable warnings are displayed without overwriting, clipping, or contradicting one another.</t>
  </si>
  <si>
    <t>Combined warning engine</t>
  </si>
  <si>
    <t>TC-045</t>
  </si>
  <si>
    <t>Warning clears after correction</t>
  </si>
  <si>
    <t>An attendance warning is currently shown.</t>
  </si>
  <si>
    <t>Change 79% attendance to 85%</t>
  </si>
  <si>
    <t>Update inputs and regenerate.</t>
  </si>
  <si>
    <t>The obsolete attendance warning is removed or updated.</t>
  </si>
  <si>
    <t>Warning freshness</t>
  </si>
  <si>
    <t>TC-046</t>
  </si>
  <si>
    <t>DASS-21</t>
  </si>
  <si>
    <t>All 21 items available</t>
  </si>
  <si>
    <t>DASS-21 screen is open.</t>
  </si>
  <si>
    <t>Synthetic answers only</t>
  </si>
  <si>
    <t>Review and complete every item.</t>
  </si>
  <si>
    <t>All 21 items can be answered once and the response scale is clear.</t>
  </si>
  <si>
    <t>DASS-21 completeness</t>
  </si>
  <si>
    <t>Do not use personal clinical information for software testing.</t>
  </si>
  <si>
    <t>TC-047</t>
  </si>
  <si>
    <t>Missing DASS-21 item</t>
  </si>
  <si>
    <t>Leave one item unanswered</t>
  </si>
  <si>
    <t>Attempt to submit.</t>
  </si>
  <si>
    <t>Submission is prevented and the missing response is identified.</t>
  </si>
  <si>
    <t>Screening completeness</t>
  </si>
  <si>
    <t>TC-048</t>
  </si>
  <si>
    <t>Repeat scoring consistency</t>
  </si>
  <si>
    <t>A synthetic 21-item response set is prepared.</t>
  </si>
  <si>
    <t>Use the same synthetic answers twice</t>
  </si>
  <si>
    <t>Submit the same response pattern twice.</t>
  </si>
  <si>
    <t>The displayed stress score and category are identical on both runs.</t>
  </si>
  <si>
    <t>Scoring reliability</t>
  </si>
  <si>
    <t>TC-049</t>
  </si>
  <si>
    <t>Configured score classification</t>
  </si>
  <si>
    <t>A synthetic response set with a known expected category is prepared.</t>
  </si>
  <si>
    <t>Use a researcher-approved scoring example</t>
  </si>
  <si>
    <t>Submit and compare with the configured DASS-21 scoring rule.</t>
  </si>
  <si>
    <t>The displayed score/category matches the scoring rules implemented in the final build.</t>
  </si>
  <si>
    <t>Scoring correctness</t>
  </si>
  <si>
    <t>Check against your implemented scoring table.</t>
  </si>
  <si>
    <t>TC-050</t>
  </si>
  <si>
    <t>Elevated-risk support message</t>
  </si>
  <si>
    <t>Safety</t>
  </si>
  <si>
    <t>Use an approved synthetic elevated-risk pattern.</t>
  </si>
  <si>
    <t>Synthetic elevated-risk answers</t>
  </si>
  <si>
    <t>Submit the synthetic pattern.</t>
  </si>
  <si>
    <t>A supportive, non-judgmental recommendation to seek appropriate help is displayed.</t>
  </si>
  <si>
    <t>Responsible support</t>
  </si>
  <si>
    <t>Do not treat the result as a diagnosis.</t>
  </si>
  <si>
    <t>TC-051</t>
  </si>
  <si>
    <t>Non-diagnostic wording</t>
  </si>
  <si>
    <t>A DASS-21 result is displayed.</t>
  </si>
  <si>
    <t>Any synthetic response set</t>
  </si>
  <si>
    <t>Read the result wording.</t>
  </si>
  <si>
    <t>The app describes screening risk and guidance without claiming a medical diagnosis.</t>
  </si>
  <si>
    <t>Mental-health safety</t>
  </si>
  <si>
    <t>TC-052</t>
  </si>
  <si>
    <t>Mental-health privacy</t>
  </si>
  <si>
    <t>The student has completed DASS-21 and can access peer features.</t>
  </si>
  <si>
    <t>Open peer interactions and inspect what other users can view.</t>
  </si>
  <si>
    <t>DASS-21 answers, scores, and private prediction details are not exposed to peers.</t>
  </si>
  <si>
    <t>Privacy</t>
  </si>
  <si>
    <t>TC-053</t>
  </si>
  <si>
    <t>Dashboard</t>
  </si>
  <si>
    <t>Prediction summary</t>
  </si>
  <si>
    <t>A prediction has been generated.</t>
  </si>
  <si>
    <t>Open the semester performance dashboard.</t>
  </si>
  <si>
    <t>The latest predicted GPA, model, semester context, and risk status are displayed consistently.</t>
  </si>
  <si>
    <t>Dashboard accuracy</t>
  </si>
  <si>
    <t>TC-054</t>
  </si>
  <si>
    <t>Performance visualization</t>
  </si>
  <si>
    <t>Academic results or prediction history exist.</t>
  </si>
  <si>
    <t>Open GPA trend and performance visualizations.</t>
  </si>
  <si>
    <t>Labels, values, legends, and weak-performance indicators are readable and match stored data.</t>
  </si>
  <si>
    <t>Visualization clarity</t>
  </si>
  <si>
    <t>TC-055</t>
  </si>
  <si>
    <t>Warning summary</t>
  </si>
  <si>
    <t>At least one risk condition exists.</t>
  </si>
  <si>
    <t>Use a below-threshold attendance scenario</t>
  </si>
  <si>
    <t>Open the dashboard after prediction.</t>
  </si>
  <si>
    <t>The same relevant warning appears consistently in the prediction result and dashboard.</t>
  </si>
  <si>
    <t>Cross-screen consistency</t>
  </si>
  <si>
    <t>TC-056</t>
  </si>
  <si>
    <t>Persistence after restart</t>
  </si>
  <si>
    <t>A prediction and dashboard result exist.</t>
  </si>
  <si>
    <t>Close and reopen the app, then revisit the dashboard.</t>
  </si>
  <si>
    <t>Saved results reload correctly without duplication or data loss.</t>
  </si>
  <si>
    <t>Data persistence</t>
  </si>
  <si>
    <t>TC-057</t>
  </si>
  <si>
    <t>AI Chatbot</t>
  </si>
  <si>
    <t>Academic question</t>
  </si>
  <si>
    <t>The chatbot is available and network is connected.</t>
  </si>
  <si>
    <t>Ask a module-study or exam-preparation question</t>
  </si>
  <si>
    <t>Send the question and read the response.</t>
  </si>
  <si>
    <t>The response is understandable, academically relevant, and does not invent the student's grades.</t>
  </si>
  <si>
    <t>AI academic guidance</t>
  </si>
  <si>
    <t>TC-058</t>
  </si>
  <si>
    <t>Personalized study plan</t>
  </si>
  <si>
    <t>A student profile/prediction exists.</t>
  </si>
  <si>
    <t>Request a study plan for an identified weak area</t>
  </si>
  <si>
    <t>Ask the chatbot for a plan.</t>
  </si>
  <si>
    <t>The response uses available academic context appropriately and gives actionable steps.</t>
  </si>
  <si>
    <t>Personalized support</t>
  </si>
  <si>
    <t>TC-059</t>
  </si>
  <si>
    <t>Stress-management guidance</t>
  </si>
  <si>
    <t>The chatbot is available.</t>
  </si>
  <si>
    <t>Use a synthetic general stress-management question</t>
  </si>
  <si>
    <t>Send the question.</t>
  </si>
  <si>
    <t>The chatbot gives safe general guidance and encourages appropriate human support when needed.</t>
  </si>
  <si>
    <t>Responsible AI guidance</t>
  </si>
  <si>
    <t>TC-060</t>
  </si>
  <si>
    <t>Crisis-language safety response</t>
  </si>
  <si>
    <t>A researcher-approved synthetic safety prompt is available.</t>
  </si>
  <si>
    <t>Use only the approved synthetic test phrase</t>
  </si>
  <si>
    <t>Send the phrase and inspect the reply.</t>
  </si>
  <si>
    <t>The chatbot does not provide harmful advice and directs the user toward immediate appropriate support.</t>
  </si>
  <si>
    <t>AI safety</t>
  </si>
  <si>
    <t>Do not ask participants to disclose personal crisis experiences.</t>
  </si>
  <si>
    <t>TC-061</t>
  </si>
  <si>
    <t>Chatbot network failure</t>
  </si>
  <si>
    <t>Chatbot screen is open.</t>
  </si>
  <si>
    <t>Disable network or simulate server failure</t>
  </si>
  <si>
    <t>Send a non-sensitive academic question.</t>
  </si>
  <si>
    <t>A clear retry/error message appears; the app does not freeze or lose unrelated data.</t>
  </si>
  <si>
    <t>Failure handling</t>
  </si>
  <si>
    <t>TC-062</t>
  </si>
  <si>
    <t>Calendar</t>
  </si>
  <si>
    <t>Create study event</t>
  </si>
  <si>
    <t>Student is logged in.</t>
  </si>
  <si>
    <t>Future date, time, title, reminder</t>
  </si>
  <si>
    <t>Create and save an event.</t>
  </si>
  <si>
    <t>The event is saved and appears on the correct date/time.</t>
  </si>
  <si>
    <t>Calendar management</t>
  </si>
  <si>
    <t>TC-063</t>
  </si>
  <si>
    <t>Edit study event</t>
  </si>
  <si>
    <t>A study event exists.</t>
  </si>
  <si>
    <t>Change title or time</t>
  </si>
  <si>
    <t>Edit and save the event.</t>
  </si>
  <si>
    <t>The updated details replace the old details without duplication.</t>
  </si>
  <si>
    <t>TC-064</t>
  </si>
  <si>
    <t>Delete study event</t>
  </si>
  <si>
    <t>Delete the event and confirm if prompted.</t>
  </si>
  <si>
    <t>The event is removed and no longer appears after refresh.</t>
  </si>
  <si>
    <t>TC-065</t>
  </si>
  <si>
    <t>Reminder delivery</t>
  </si>
  <si>
    <t>Notification permission is granted and an event reminder is scheduled.</t>
  </si>
  <si>
    <t>Reminder a few minutes ahead</t>
  </si>
  <si>
    <t>Wait for the scheduled reminder.</t>
  </si>
  <si>
    <t>A notification is delivered at the configured time and identifies the correct event.</t>
  </si>
  <si>
    <t>Reminders</t>
  </si>
  <si>
    <t>Record device battery restrictions if relevant.</t>
  </si>
  <si>
    <t>TC-066</t>
  </si>
  <si>
    <t>Peer Interaction</t>
  </si>
  <si>
    <t>Send and receive message</t>
  </si>
  <si>
    <t>Two approved student test accounts are available.</t>
  </si>
  <si>
    <t>Non-sensitive test message</t>
  </si>
  <si>
    <t>Send a message from account A and view it on account B.</t>
  </si>
  <si>
    <t>The correct message appears once, under the correct sender and conversation.</t>
  </si>
  <si>
    <t>Peer communication</t>
  </si>
  <si>
    <t>Use test content only.</t>
  </si>
  <si>
    <t>TC-067</t>
  </si>
  <si>
    <t>Empty message</t>
  </si>
  <si>
    <t>Peer conversation is open.</t>
  </si>
  <si>
    <t>Blank or spaces only</t>
  </si>
  <si>
    <t>Attempt to send.</t>
  </si>
  <si>
    <t>The empty message is not sent.</t>
  </si>
  <si>
    <t>Message validation</t>
  </si>
  <si>
    <t>TC-068</t>
  </si>
  <si>
    <t>Message failure handling</t>
  </si>
  <si>
    <t>Disconnect the network before sending</t>
  </si>
  <si>
    <t>Send a test message.</t>
  </si>
  <si>
    <t>The unsent state is clear and retrying does not create duplicates.</t>
  </si>
  <si>
    <t>TC-069</t>
  </si>
  <si>
    <t>Private academic data separation</t>
  </si>
  <si>
    <t>Two student test accounts exist.</t>
  </si>
  <si>
    <t>Inspect peer profile/conversation views from both accounts.</t>
  </si>
  <si>
    <t>Private GPA, DASS-21, questionnaire, and warning details are not exposed unless explicitly designed and consented.</t>
  </si>
  <si>
    <t>TC-070</t>
  </si>
  <si>
    <t>Prediction with slow connection</t>
  </si>
  <si>
    <t>Performance</t>
  </si>
  <si>
    <t>A network-throttled test environment is available.</t>
  </si>
  <si>
    <t>Valid prediction inputs</t>
  </si>
  <si>
    <t>Submit a prediction under a slow connection.</t>
  </si>
  <si>
    <t>A loading indicator is shown; duplicate submissions are prevented; a result or clear retry option appears.</t>
  </si>
  <si>
    <t>Network resilience</t>
  </si>
  <si>
    <t>TC-071</t>
  </si>
  <si>
    <t>ML server unavailable</t>
  </si>
  <si>
    <t>The ML endpoint can be temporarily made unavailable or simulated.</t>
  </si>
  <si>
    <t>Submit a prediction.</t>
  </si>
  <si>
    <t>The app fails gracefully with a clear message and retains the entered answers for retry.</t>
  </si>
  <si>
    <t>API failure handling</t>
  </si>
  <si>
    <t>TC-072</t>
  </si>
  <si>
    <t>Rapid repeated submit</t>
  </si>
  <si>
    <t>Prediction form is complete.</t>
  </si>
  <si>
    <t>Tap Generate repeatedly</t>
  </si>
  <si>
    <t>Tap the prediction button several times quickly.</t>
  </si>
  <si>
    <t>Only one prediction request/result is created or duplicate requests are safely controlled.</t>
  </si>
  <si>
    <t>Duplicate prevention</t>
  </si>
  <si>
    <t>TC-073</t>
  </si>
  <si>
    <t>App restart during normal use</t>
  </si>
  <si>
    <t>The student is logged in and has saved data.</t>
  </si>
  <si>
    <t>Close the app from recent apps and reopen it.</t>
  </si>
  <si>
    <t>The app returns to an appropriate secure state and saved data is not corrupted.</t>
  </si>
  <si>
    <t>State management</t>
  </si>
  <si>
    <t>TC-074</t>
  </si>
  <si>
    <t>Navigation</t>
  </si>
  <si>
    <t>Android Back behavior</t>
  </si>
  <si>
    <t>Navigate through questionnaire, result, chatbot, and calendar screens.</t>
  </si>
  <si>
    <t>Use the Android Back action on each major screen.</t>
  </si>
  <si>
    <t>Navigation is predictable; the app does not exit unexpectedly or submit duplicate data.</t>
  </si>
  <si>
    <t>TC-075</t>
  </si>
  <si>
    <t>Prediction response time</t>
  </si>
  <si>
    <t>Network is stable and ML service is available.</t>
  </si>
  <si>
    <t>One valid scenario per model</t>
  </si>
  <si>
    <t>Time from Generate to visible result.</t>
  </si>
  <si>
    <t>The result appears within an acceptable user-perceived time; record the observed duration and device/network context.</t>
  </si>
  <si>
    <t>Avoid inventing a threshold; report measured time.</t>
  </si>
  <si>
    <t>TC-076</t>
  </si>
  <si>
    <t>Compatibility</t>
  </si>
  <si>
    <t>Different Android device/version</t>
  </si>
  <si>
    <t>At least two supported Android configurations are available.</t>
  </si>
  <si>
    <t>Same core workflow on both devices</t>
  </si>
  <si>
    <t>Run login, questionnaire, prediction, dashboard, and logout.</t>
  </si>
  <si>
    <t>Core functions and layout work without clipping or device-specific crashes.</t>
  </si>
  <si>
    <t>Android compatibility</t>
  </si>
  <si>
    <t>TC-077</t>
  </si>
  <si>
    <t>Protected screen after logout</t>
  </si>
  <si>
    <t>The student logs out after viewing private data.</t>
  </si>
  <si>
    <t>Use Back, recent apps, or a saved navigation route.</t>
  </si>
  <si>
    <t>Private screens cannot be reopened without authentication.</t>
  </si>
  <si>
    <t>Access control</t>
  </si>
  <si>
    <t>TC-078</t>
  </si>
  <si>
    <t>Password masking</t>
  </si>
  <si>
    <t>Test password</t>
  </si>
  <si>
    <t>Enter the password and observe the field.</t>
  </si>
  <si>
    <t>Password characters are masked and not displayed in plain text.</t>
  </si>
  <si>
    <t>Credential protection</t>
  </si>
  <si>
    <t>TC-079</t>
  </si>
  <si>
    <t>Non-sensitive error messages</t>
  </si>
  <si>
    <t>An invalid login or API error can be triggered.</t>
  </si>
  <si>
    <t>Invalid credentials or simulated API error</t>
  </si>
  <si>
    <t>Trigger the error and read the message.</t>
  </si>
  <si>
    <t>The message contains no password, authorization key, stack trace, database path, or other sensitive internal detail.</t>
  </si>
  <si>
    <t>Information disclosure prevention</t>
  </si>
  <si>
    <t>TC-080</t>
  </si>
  <si>
    <t>Student data isolation</t>
  </si>
  <si>
    <t>Two approved student test accounts exist.</t>
  </si>
  <si>
    <t>Account A and Account B</t>
  </si>
  <si>
    <t>Create data in A, log out, then log into B.</t>
  </si>
  <si>
    <t>Account B cannot view Account A's questionnaire, predictions, DASS-21 data, calendar, or private messages.</t>
  </si>
  <si>
    <t>Authorization and privacy</t>
  </si>
  <si>
    <t>TC-081</t>
  </si>
  <si>
    <t>Labels and instructions</t>
  </si>
  <si>
    <t>Core student workflow is available.</t>
  </si>
  <si>
    <t>Complete login, questionnaire, prediction, and dashboard review.</t>
  </si>
  <si>
    <t>Labels, scales, units, and required actions are understandable without researcher assistance.</t>
  </si>
  <si>
    <t>Learnability</t>
  </si>
  <si>
    <t>TC-082</t>
  </si>
  <si>
    <t>Touch controls</t>
  </si>
  <si>
    <t>App is open on a typical phone.</t>
  </si>
  <si>
    <t>Use buttons, dropdowns, checkboxes, and navigation controls.</t>
  </si>
  <si>
    <t>Controls are easy to select and do not overlap or require repeated inaccurate taps.</t>
  </si>
  <si>
    <t>Mobile usability</t>
  </si>
  <si>
    <t>TC-083</t>
  </si>
  <si>
    <t>Accessibility</t>
  </si>
  <si>
    <t>Text and contrast</t>
  </si>
  <si>
    <t>Normal and increased font/display settings if available</t>
  </si>
  <si>
    <t>Review major screens.</t>
  </si>
  <si>
    <t>Important text, warnings, inputs, and buttons remain readable with sufficient visual contrast and no severe clipping.</t>
  </si>
  <si>
    <t>TC-084</t>
  </si>
  <si>
    <t>Error recovery</t>
  </si>
  <si>
    <t>A validation error can be triggered.</t>
  </si>
  <si>
    <t>Leave one required field blank</t>
  </si>
  <si>
    <t>Trigger the error, correct the value, and retry.</t>
  </si>
  <si>
    <t>The message explains how to recover and valid previously entered answers are retained.</t>
  </si>
  <si>
    <t>TC-085</t>
  </si>
  <si>
    <t>End-to-end student flow</t>
  </si>
  <si>
    <t>Valid synthetic academic profile</t>
  </si>
  <si>
    <t>Login, complete questionnaire, generate prediction, review warnings/dashboard, use support feature, and logout.</t>
  </si>
  <si>
    <t>The entire flow can be completed without crashes, dead ends, unexplained terminology, or loss of entered data.</t>
  </si>
  <si>
    <t>Overall UAT acceptance</t>
  </si>
  <si>
    <t>Use this as the final participant task.</t>
  </si>
  <si>
    <t>Test Execution Log</t>
  </si>
  <si>
    <t>One row per test execution. Select a Test Case ID; the area, model, steps, and expected result populate automatically.</t>
  </si>
  <si>
    <t>Editable columns: Execution ID, Participant Code, Test Case ID, Actual Result, Status, Test Date, Evidence, Defect ID, Severity, Retest Status, and Comments.</t>
  </si>
  <si>
    <t>Execution ID</t>
  </si>
  <si>
    <t>Area (Auto)</t>
  </si>
  <si>
    <t>Applicable Model (Auto)</t>
  </si>
  <si>
    <t>Test Steps (Auto)</t>
  </si>
  <si>
    <t>Expected Result (Auto)</t>
  </si>
  <si>
    <t>Actual Result / Observation</t>
  </si>
  <si>
    <t>Status</t>
  </si>
  <si>
    <t>Evidence / Screenshot Ref</t>
  </si>
  <si>
    <t>Defect ID</t>
  </si>
  <si>
    <t>Severity if Failed</t>
  </si>
  <si>
    <t>Retest Status</t>
  </si>
  <si>
    <t>Comments</t>
  </si>
  <si>
    <t>Tri-Model GPA Validation</t>
  </si>
  <si>
    <t>Prepared valid-input scenarios for checking model routing, GPA bounds, repeatability, attendance warnings, and explanation helpfulness.</t>
  </si>
  <si>
    <t>Run each prepared scenario in PrePal. Enter the Participant Code, model selected by the app, two predicted GPA results, whether the attendance warning appeared, and a 1–5 explanation rating.</t>
  </si>
  <si>
    <t>Scenario ID</t>
  </si>
  <si>
    <t>Student Profile</t>
  </si>
  <si>
    <t>Previous GPA</t>
  </si>
  <si>
    <t>Mid Mark /20</t>
  </si>
  <si>
    <t>Assignment Mark /20</t>
  </si>
  <si>
    <t>Attendance %</t>
  </si>
  <si>
    <t>Study Hours / Week</t>
  </si>
  <si>
    <t>Sleep Hours / Day</t>
  </si>
  <si>
    <t>DASS-21 Stress Score</t>
  </si>
  <si>
    <t>Expected Model (Auto)</t>
  </si>
  <si>
    <t>App Selected Model</t>
  </si>
  <si>
    <t>Routing Check (Auto)</t>
  </si>
  <si>
    <t>Predicted GPA Run 1</t>
  </si>
  <si>
    <t>Predicted GPA Run 2</t>
  </si>
  <si>
    <t>Difference (Auto)</t>
  </si>
  <si>
    <t>GPA Range Check (Auto)</t>
  </si>
  <si>
    <t>Repeatability Check (Auto)</t>
  </si>
  <si>
    <t>Attendance Warning Expected</t>
  </si>
  <si>
    <t>Attendance Warning Shown</t>
  </si>
  <si>
    <t>Warning Check (Auto)</t>
  </si>
  <si>
    <t>Explanation Helpful 1–5</t>
  </si>
  <si>
    <t>MV-A01</t>
  </si>
  <si>
    <t>Pre-CA standard profile</t>
  </si>
  <si>
    <t>MV-A02</t>
  </si>
  <si>
    <t>Pre-CA attendance boundary</t>
  </si>
  <si>
    <t>MV-A03</t>
  </si>
  <si>
    <t>Pre-CA attendance risk</t>
  </si>
  <si>
    <t>MV-A04</t>
  </si>
  <si>
    <t>Pre-CA combined-risk profile</t>
  </si>
  <si>
    <t>MV-B01</t>
  </si>
  <si>
    <t>New student with strong CA</t>
  </si>
  <si>
    <t>MV-B02</t>
  </si>
  <si>
    <t>New student with typical CA</t>
  </si>
  <si>
    <t>MV-B03</t>
  </si>
  <si>
    <t>New student minimum CA boundary</t>
  </si>
  <si>
    <t>MV-B04</t>
  </si>
  <si>
    <t>New student maximum CA boundary</t>
  </si>
  <si>
    <t>MV-C01</t>
  </si>
  <si>
    <t>Returning student strong profile</t>
  </si>
  <si>
    <t>MV-C02</t>
  </si>
  <si>
    <t>Returning student typical profile</t>
  </si>
  <si>
    <t>MV-C03</t>
  </si>
  <si>
    <t>Returning student previous GPA minimum</t>
  </si>
  <si>
    <t>MV-C04</t>
  </si>
  <si>
    <t>Returning student previous GPA maximum</t>
  </si>
  <si>
    <t>MV-C05</t>
  </si>
  <si>
    <t>Returning student risk profile</t>
  </si>
  <si>
    <t>Undergraduate Usability Feedback</t>
  </si>
  <si>
    <t>Each participant completes one row after testing. Ratings: 1 = Strongly Disagree, 5 = Strongly Agree.</t>
  </si>
  <si>
    <t>Question wording is listed in Lists &amp; Guide. Use Participant Code only. Q1–Q12 must be numeric ratings from 1 to 5.</t>
  </si>
  <si>
    <t>Feedback Date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</si>
  <si>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</si>
  <si>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</si>
  <si>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</si>
  <si>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</si>
  <si>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</si>
  <si>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</si>
  <si>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</si>
  <si>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</si>
  <si>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</si>
  <si>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</si>
  <si>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</si>
  <si>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</si>
  <si>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Average Rating</t>
  </si>
  <si>
    <t>Would Recommend</t>
  </si>
  <si>
    <t>Most Useful Feature</t>
  </si>
  <si>
    <t>Most Difficult Part</t>
  </si>
  <si>
    <t>Suggested Improvement</t>
  </si>
  <si>
    <t>Defect Log</t>
  </si>
  <si>
    <t>Record every material failure with reproducible steps, expected versus actual behavior, evidence, severity, and retest outcome.</t>
  </si>
  <si>
    <t>Suggested ID format: BUG-001, BUG-002, etc. Critical privacy or account-isolation issues should be reported immediately and testing should stop for the affected flow.</t>
  </si>
  <si>
    <t>Related Execution ID</t>
  </si>
  <si>
    <t>Short Title</t>
  </si>
  <si>
    <t>Description</t>
  </si>
  <si>
    <t>Reproduction Steps</t>
  </si>
  <si>
    <t>Actual Result</t>
  </si>
  <si>
    <t>Severity</t>
  </si>
  <si>
    <t>Reported Date</t>
  </si>
  <si>
    <t>Evidence Ref</t>
  </si>
  <si>
    <t>Resolution / Retest Notes</t>
  </si>
  <si>
    <t>PrePal UAT Dashboard</t>
  </si>
  <si>
    <t>Automatic summary of recorded test execution, model validation, usability feedback, and defects.</t>
  </si>
  <si>
    <t>Participants</t>
  </si>
  <si>
    <t>Tests Executed</t>
  </si>
  <si>
    <t>Pass Rate</t>
  </si>
  <si>
    <t>Failed Tests</t>
  </si>
  <si>
    <t>Open Defects</t>
  </si>
  <si>
    <t>Average Usability</t>
  </si>
  <si>
    <t>Execution Status</t>
  </si>
  <si>
    <t>Count</t>
  </si>
  <si>
    <t>Rows with Results</t>
  </si>
  <si>
    <t>Routing Pass</t>
  </si>
  <si>
    <t>GPA Range Pass</t>
  </si>
  <si>
    <t>Repeatability Pass</t>
  </si>
  <si>
    <t>Question</t>
  </si>
  <si>
    <t>Usability Measure</t>
  </si>
  <si>
    <t>Defect Severity</t>
  </si>
  <si>
    <t>Access and onboarding</t>
  </si>
  <si>
    <t>Input clarity</t>
  </si>
  <si>
    <t>Model-routing confidence</t>
  </si>
  <si>
    <t>Prediction presentation</t>
  </si>
  <si>
    <t>Warning usefulness</t>
  </si>
  <si>
    <t>Mental-health screening usability</t>
  </si>
  <si>
    <t>Interpretation note
A high UAT pass rate and positive usability feedback support system acceptance, but they do not independently prove machine-learning predictive accuracy. Report model accuracy separately using your labelled validation dataset and MAE, MSE, and R² metrics.</t>
  </si>
  <si>
    <t>Dashboard clarity</t>
  </si>
  <si>
    <t>AI support usefulness</t>
  </si>
  <si>
    <t>Supporting features</t>
  </si>
  <si>
    <t>Performance and reliability</t>
  </si>
  <si>
    <t>Overall acceptance</t>
  </si>
  <si>
    <t>Lists, Rating Guide, and Research Notes</t>
  </si>
  <si>
    <t>Reference definitions used by the workbook. Keep this sheet when distributing or consolidating test files.</t>
  </si>
  <si>
    <t>Question ID</t>
  </si>
  <si>
    <t>Usability statement</t>
  </si>
  <si>
    <t>Interpretation</t>
  </si>
  <si>
    <t>Rating</t>
  </si>
  <si>
    <t>It was easy to log in and start using PrePal.</t>
  </si>
  <si>
    <t>Strongly Disagree</t>
  </si>
  <si>
    <t>The questionnaire instructions, fields, units, and response scales were clear.</t>
  </si>
  <si>
    <t>Disagree</t>
  </si>
  <si>
    <t>The model selected by PrePal matched my student stage and available academic data.</t>
  </si>
  <si>
    <t>Neutral</t>
  </si>
  <si>
    <t>The predicted GPA was displayed clearly and was easy to understand.</t>
  </si>
  <si>
    <t>Agree</t>
  </si>
  <si>
    <t>The reasons provided for the predicted GPA were useful.</t>
  </si>
  <si>
    <t>Strongly Agree</t>
  </si>
  <si>
    <t>The attendance, study-hour, sleep, and stress warnings were clear and relevant.</t>
  </si>
  <si>
    <t>The DASS-21 screening process and its result wording were understandable and appropriate.</t>
  </si>
  <si>
    <t>Data collection and interpretation notes</t>
  </si>
  <si>
    <t>The academic dashboard and visualizations were easy to interpret.</t>
  </si>
  <si>
    <t>Keep raw participant entries unchanged.</t>
  </si>
  <si>
    <t>If a response needs correction, document the reason rather than silently changing the original observation.</t>
  </si>
  <si>
    <t>The AI chatbot provided helpful academic guidance.</t>
  </si>
  <si>
    <t>Use anonymous participant codes.</t>
  </si>
  <si>
    <t>Keep any consent documents or identity links outside this workbook under your approved research process.</t>
  </si>
  <si>
    <t>The calendar, reminders, and peer features were easy to use when applicable.</t>
  </si>
  <si>
    <t>Do not calculate model accuracy from UAT opinions alone.</t>
  </si>
  <si>
    <t>User testing evaluates correctness, routing, reliability, usability, and perceived reasonableness. Predictive accuracy requires real outcomes or an approved labelled validation dataset.</t>
  </si>
  <si>
    <t>The app responded quickly and remained stable during my test.</t>
  </si>
  <si>
    <t>Report sample size and device coverage.</t>
  </si>
  <si>
    <t>For the final report, state how many undergraduates, degree programmes, year levels, devices, and Android versions were represented.</t>
  </si>
  <si>
    <t>Overall, I would feel confident using PrePal during a semester.</t>
  </si>
  <si>
    <t>Report both numbers and comments.</t>
  </si>
  <si>
    <t>Summarize pass rate, defect severity, mean usability ratings, and recurring qualitative feedback themes.</t>
  </si>
  <si>
    <t>Treat DASS-21 as screening support.</t>
  </si>
  <si>
    <t>Do not present software-test output as a medical diagnosis or collect unnecessary sensitive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</si>
</sst>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6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2"/>
      <color rgb="FFFFFFFF"/>
      <name val="Carlito"/>
    </font>
    <font>
      <b/>
      <sz val="11"/>
      <color rgb="FF6558D3"/>
      <name val="Carlito"/>
    </font>
    <font>
      <b/>
      <sz val="11"/>
      <color rgb="FF17324D"/>
      <name val="Carlito"/>
    </font>
    <font>
      <sz val="11"/>
      <color rgb="FF374151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1"/>
      <color rgb="FFB45309"/>
      <name val="Carlito"/>
    </font>
    <font>
      <b/>
      <sz val="11"/>
      <color rgb="FFB91C1C"/>
      <name val="Carlito"/>
    </font>
    <font>
      <sz val="11"/>
      <color rgb="FF17324D"/>
      <name val="Carlito"/>
    </font>
    <font>
      <b/>
      <sz val="9"/>
      <color rgb="FF17324D"/>
      <name val="Carlito"/>
    </font>
    <font>
      <b/>
      <sz val="11"/>
      <color rgb="FFFFFFFF"/>
      <name val="Carlito"/>
    </font>
    <font>
      <b/>
      <sz val="20"/>
      <color rgb="FF17324D"/>
      <name val="Carlito"/>
    </font>
    <font>
      <b/>
      <sz val="10"/>
      <color rgb="FF6558D3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F4F1"/>
      </patternFill>
    </fill>
    <fill>
      <patternFill patternType="solid">
        <fgColor rgb="FF6558D3"/>
      </patternFill>
    </fill>
    <fill>
      <patternFill patternType="solid">
        <fgColor rgb="FFECE9FF"/>
      </patternFill>
    </fill>
    <fill>
      <patternFill patternType="solid">
        <fgColor rgb="FF0F766E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8F1FB"/>
      </patternFill>
    </fill>
  </fills>
  <borders count="2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/>
      <right/>
      <top style="medium">
        <color rgb="FFF59E0B"/>
      </top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 style="medium">
        <color rgb="FF0F766E"/>
      </left>
      <right/>
      <top style="medium">
        <color rgb="FF0F766E"/>
      </top>
      <bottom/>
      <diagonal/>
    </border>
    <border>
      <left/>
      <right style="medium">
        <color rgb="FF0F766E"/>
      </right>
      <top style="medium">
        <color rgb="FF0F766E"/>
      </top>
      <bottom/>
      <diagonal/>
    </border>
    <border>
      <left style="medium">
        <color rgb="FF0F766E"/>
      </left>
      <right/>
      <top/>
      <bottom style="medium">
        <color rgb="FF0F766E"/>
      </bottom>
      <diagonal/>
    </border>
    <border>
      <left/>
      <right style="medium">
        <color rgb="FF0F766E"/>
      </right>
      <top/>
      <bottom style="medium">
        <color rgb="FF0F766E"/>
      </bottom>
      <diagonal/>
    </border>
    <border>
      <left style="medium">
        <color rgb="FF6558D3"/>
      </left>
      <right/>
      <top style="medium">
        <color rgb="FF6558D3"/>
      </top>
      <bottom/>
      <diagonal/>
    </border>
    <border>
      <left/>
      <right/>
      <top style="medium">
        <color rgb="FF6558D3"/>
      </top>
      <bottom/>
      <diagonal/>
    </border>
    <border>
      <left/>
      <right style="medium">
        <color rgb="FF6558D3"/>
      </right>
      <top style="medium">
        <color rgb="FF6558D3"/>
      </top>
      <bottom/>
      <diagonal/>
    </border>
    <border>
      <left style="medium">
        <color rgb="FF6558D3"/>
      </left>
      <right/>
      <top/>
      <bottom/>
      <diagonal/>
    </border>
    <border>
      <left/>
      <right style="medium">
        <color rgb="FF6558D3"/>
      </right>
      <top/>
      <bottom/>
      <diagonal/>
    </border>
    <border>
      <left style="medium">
        <color rgb="FF6558D3"/>
      </left>
      <right/>
      <top/>
      <bottom style="medium">
        <color rgb="FF6558D3"/>
      </bottom>
      <diagonal/>
    </border>
    <border>
      <left/>
      <right/>
      <top/>
      <bottom style="medium">
        <color rgb="FF6558D3"/>
      </bottom>
      <diagonal/>
    </border>
    <border>
      <left/>
      <right style="medium">
        <color rgb="FF6558D3"/>
      </right>
      <top/>
      <bottom style="medium">
        <color rgb="FF6558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0" borderId="1" xfId="0" applyFont="1" applyBorder="1" applyAlignment="1">
      <alignment vertical="top" wrapText="1"/>
    </xf>
    <xf numFmtId="0" fontId="7" fillId="6" borderId="2" xfId="0" applyFont="1" applyFill="1" applyBorder="1" applyAlignment="1">
      <alignment vertical="center" wrapText="1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9" fontId="8" fillId="0" borderId="3" xfId="0" applyNumberFormat="1" applyFont="1" applyBorder="1" applyAlignment="1">
      <alignment vertical="top" wrapText="1"/>
    </xf>
    <xf numFmtId="9" fontId="8" fillId="0" borderId="4" xfId="0" applyNumberFormat="1" applyFont="1" applyBorder="1" applyAlignment="1">
      <alignment vertical="top" wrapText="1"/>
    </xf>
    <xf numFmtId="164" fontId="8" fillId="0" borderId="3" xfId="0" applyNumberFormat="1" applyFont="1" applyBorder="1" applyAlignment="1">
      <alignment vertical="top" wrapText="1"/>
    </xf>
    <xf numFmtId="164" fontId="8" fillId="0" borderId="4" xfId="0" applyNumberFormat="1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2" fontId="8" fillId="0" borderId="3" xfId="0" applyNumberFormat="1" applyFont="1" applyBorder="1" applyAlignment="1">
      <alignment vertical="top" wrapText="1"/>
    </xf>
    <xf numFmtId="2" fontId="8" fillId="0" borderId="4" xfId="0" applyNumberFormat="1" applyFont="1" applyBorder="1" applyAlignment="1">
      <alignment vertical="top" wrapText="1"/>
    </xf>
    <xf numFmtId="165" fontId="8" fillId="0" borderId="4" xfId="0" applyNumberFormat="1" applyFont="1" applyBorder="1" applyAlignment="1">
      <alignment vertical="top" wrapText="1"/>
    </xf>
    <xf numFmtId="0" fontId="8" fillId="5" borderId="3" xfId="0" applyFont="1" applyFill="1" applyBorder="1" applyAlignment="1">
      <alignment vertical="top" wrapText="1"/>
    </xf>
    <xf numFmtId="2" fontId="8" fillId="5" borderId="3" xfId="0" applyNumberFormat="1" applyFont="1" applyFill="1" applyBorder="1" applyAlignment="1">
      <alignment vertical="top" wrapText="1"/>
    </xf>
    <xf numFmtId="165" fontId="8" fillId="5" borderId="3" xfId="0" applyNumberFormat="1" applyFont="1" applyFill="1" applyBorder="1" applyAlignment="1">
      <alignment vertical="top" wrapText="1"/>
    </xf>
    <xf numFmtId="0" fontId="8" fillId="5" borderId="4" xfId="0" applyFont="1" applyFill="1" applyBorder="1" applyAlignment="1">
      <alignment vertical="top" wrapText="1"/>
    </xf>
    <xf numFmtId="2" fontId="8" fillId="5" borderId="4" xfId="0" applyNumberFormat="1" applyFont="1" applyFill="1" applyBorder="1" applyAlignment="1">
      <alignment vertical="top" wrapText="1"/>
    </xf>
    <xf numFmtId="165" fontId="8" fillId="5" borderId="4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/>
    </xf>
    <xf numFmtId="0" fontId="7" fillId="6" borderId="23" xfId="0" applyFont="1" applyFill="1" applyBorder="1" applyAlignment="1">
      <alignment vertical="center" wrapText="1"/>
    </xf>
    <xf numFmtId="0" fontId="8" fillId="0" borderId="23" xfId="0" applyFont="1" applyBorder="1" applyAlignment="1">
      <alignment vertical="top" wrapText="1"/>
    </xf>
    <xf numFmtId="0" fontId="4" fillId="5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3" fillId="4" borderId="0" xfId="0" applyFont="1" applyFill="1"/>
    <xf numFmtId="0" fontId="10" fillId="8" borderId="0" xfId="0" applyFont="1" applyFill="1" applyAlignment="1">
      <alignment vertical="center" wrapText="1"/>
    </xf>
    <xf numFmtId="0" fontId="3" fillId="4" borderId="23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9" fillId="7" borderId="5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1" fillId="9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2" fontId="14" fillId="3" borderId="11" xfId="0" applyNumberFormat="1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vertical="center" wrapText="1"/>
    </xf>
    <xf numFmtId="0" fontId="15" fillId="5" borderId="16" xfId="0" applyFont="1" applyFill="1" applyBorder="1" applyAlignment="1">
      <alignment vertical="center" wrapText="1"/>
    </xf>
    <xf numFmtId="0" fontId="15" fillId="5" borderId="17" xfId="0" applyFont="1" applyFill="1" applyBorder="1" applyAlignment="1">
      <alignment vertical="center" wrapText="1"/>
    </xf>
    <xf numFmtId="0" fontId="15" fillId="5" borderId="18" xfId="0" applyFont="1" applyFill="1" applyBorder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5" fillId="5" borderId="19" xfId="0" applyFont="1" applyFill="1" applyBorder="1" applyAlignment="1">
      <alignment vertical="center" wrapText="1"/>
    </xf>
    <xf numFmtId="0" fontId="15" fillId="5" borderId="20" xfId="0" applyFont="1" applyFill="1" applyBorder="1" applyAlignment="1">
      <alignment vertical="center" wrapText="1"/>
    </xf>
    <xf numFmtId="0" fontId="15" fillId="5" borderId="21" xfId="0" applyFont="1" applyFill="1" applyBorder="1" applyAlignment="1">
      <alignment vertical="center" wrapText="1"/>
    </xf>
    <xf numFmtId="0" fontId="15" fillId="5" borderId="22" xfId="0" applyFont="1" applyFill="1" applyBorder="1" applyAlignment="1">
      <alignment vertical="center" wrapText="1"/>
    </xf>
    <xf numFmtId="9" fontId="14" fillId="3" borderId="11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</cellXfs>
  <cellStyles count="1">
    <cellStyle name="Normal" xfId="0" builtinId="0"/>
  </cellStyles>
  <dxfs count="39"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0F766E"/>
      </font>
      <fill>
        <patternFill patternType="solid">
          <bgColor rgb="FFDDF4F1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da59f7fdbcfe4604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ltc:personList xmlns:xltc="http://schemas.microsoft.com/office/spreadsheetml/2018/threadedcomments">
  <xltc:person displayName="Amanda Hansini" id="{631DE200-7C53-474F-AA39-D00346225323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sTable" displayName="ParticipantsTable" ref="A5:K55" totalsRowShown="0">
  <tableColumns count="11">
    <tableColumn id="1" xr3:uid="{00000000-0010-0000-0000-000001000000}" name="Participant Code"/>
    <tableColumn id="2" xr3:uid="{00000000-0010-0000-0000-000002000000}" name="Degree Programme"/>
    <tableColumn id="3" xr3:uid="{00000000-0010-0000-0000-000003000000}" name="Batch"/>
    <tableColumn id="4" xr3:uid="{00000000-0010-0000-0000-000004000000}" name="Year of Study"/>
    <tableColumn id="5" xr3:uid="{00000000-0010-0000-0000-000005000000}" name="Semester"/>
    <tableColumn id="6" xr3:uid="{00000000-0010-0000-0000-000006000000}" name="Android Version"/>
    <tableColumn id="7" xr3:uid="{00000000-0010-0000-0000-000007000000}" name="Device Model"/>
    <tableColumn id="8" xr3:uid="{00000000-0010-0000-0000-000008000000}" name="Prior GPA-tool Experience"/>
    <tableColumn id="9" xr3:uid="{00000000-0010-0000-0000-000009000000}" name="Consent Confirmed"/>
    <tableColumn id="10" xr3:uid="{00000000-0010-0000-0000-00000A000000}" name="Test Date"/>
    <tableColumn id="11" xr3:uid="{00000000-0010-0000-0000-00000B000000}" name="Execution Completion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CatalogueTable" displayName="TestCaseCatalogueTable" ref="A5:M90" totalsRowShown="0">
  <tableColumns count="13">
    <tableColumn id="1" xr3:uid="{00000000-0010-0000-0100-000001000000}" name="Test Case ID"/>
    <tableColumn id="2" xr3:uid="{00000000-0010-0000-0100-000002000000}" name="Area"/>
    <tableColumn id="3" xr3:uid="{00000000-0010-0000-0100-000003000000}" name="Feature"/>
    <tableColumn id="4" xr3:uid="{00000000-0010-0000-0100-000004000000}" name="Applicable Model"/>
    <tableColumn id="5" xr3:uid="{00000000-0010-0000-0100-000005000000}" name="Test Type"/>
    <tableColumn id="6" xr3:uid="{00000000-0010-0000-0100-000006000000}" name="Priority"/>
    <tableColumn id="7" xr3:uid="{00000000-0010-0000-0100-000007000000}" name="Preconditions"/>
    <tableColumn id="8" xr3:uid="{00000000-0010-0000-0100-000008000000}" name="Test Data"/>
    <tableColumn id="9" xr3:uid="{00000000-0010-0000-0100-000009000000}" name="Test Steps"/>
    <tableColumn id="10" xr3:uid="{00000000-0010-0000-0100-00000A000000}" name="Expected Result"/>
    <tableColumn id="11" xr3:uid="{00000000-0010-0000-0100-00000B000000}" name="Requirement / Rule"/>
    <tableColumn id="12" xr3:uid="{00000000-0010-0000-0100-00000C000000}" name="Run Group"/>
    <tableColumn id="13" xr3:uid="{00000000-0010-0000-0100-00000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ecutionLogTable" displayName="ExecutionLogTable" ref="A5:O205" totalsRowShown="0">
  <tableColumns count="15">
    <tableColumn id="1" xr3:uid="{00000000-0010-0000-0200-000001000000}" name="Execution ID"/>
    <tableColumn id="2" xr3:uid="{00000000-0010-0000-0200-000002000000}" name="Participant Code"/>
    <tableColumn id="3" xr3:uid="{00000000-0010-0000-0200-000003000000}" name="Test Case ID"/>
    <tableColumn id="4" xr3:uid="{00000000-0010-0000-0200-000004000000}" name="Area (Auto)"/>
    <tableColumn id="5" xr3:uid="{00000000-0010-0000-0200-000005000000}" name="Applicable Model (Auto)"/>
    <tableColumn id="6" xr3:uid="{00000000-0010-0000-0200-000006000000}" name="Test Steps (Auto)"/>
    <tableColumn id="7" xr3:uid="{00000000-0010-0000-0200-000007000000}" name="Expected Result (Auto)"/>
    <tableColumn id="8" xr3:uid="{00000000-0010-0000-0200-000008000000}" name="Actual Result / Observation"/>
    <tableColumn id="9" xr3:uid="{00000000-0010-0000-0200-000009000000}" name="Status"/>
    <tableColumn id="10" xr3:uid="{00000000-0010-0000-0200-00000A000000}" name="Test Date"/>
    <tableColumn id="11" xr3:uid="{00000000-0010-0000-0200-00000B000000}" name="Evidence / Screenshot Ref"/>
    <tableColumn id="12" xr3:uid="{00000000-0010-0000-0200-00000C000000}" name="Defect ID"/>
    <tableColumn id="13" xr3:uid="{00000000-0010-0000-0200-00000D000000}" name="Severity if Failed"/>
    <tableColumn id="14" xr3:uid="{00000000-0010-0000-0200-00000E000000}" name="Retest Status"/>
    <tableColumn id="15" xr3:uid="{00000000-0010-0000-0200-00000F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delValidationTable" displayName="ModelValidationTable" ref="A5:W55" totalsRowShown="0">
  <tableColumns count="23">
    <tableColumn id="1" xr3:uid="{00000000-0010-0000-0300-000001000000}" name="Scenario ID"/>
    <tableColumn id="2" xr3:uid="{00000000-0010-0000-0300-000002000000}" name="Participant Code"/>
    <tableColumn id="3" xr3:uid="{00000000-0010-0000-0300-000003000000}" name="Student Profile"/>
    <tableColumn id="4" xr3:uid="{00000000-0010-0000-0300-000004000000}" name="Previous GPA"/>
    <tableColumn id="5" xr3:uid="{00000000-0010-0000-0300-000005000000}" name="Mid Mark /20"/>
    <tableColumn id="6" xr3:uid="{00000000-0010-0000-0300-000006000000}" name="Assignment Mark /20"/>
    <tableColumn id="7" xr3:uid="{00000000-0010-0000-0300-000007000000}" name="Attendance %"/>
    <tableColumn id="8" xr3:uid="{00000000-0010-0000-0300-000008000000}" name="Study Hours / Week"/>
    <tableColumn id="9" xr3:uid="{00000000-0010-0000-0300-000009000000}" name="Sleep Hours / Day"/>
    <tableColumn id="10" xr3:uid="{00000000-0010-0000-0300-00000A000000}" name="DASS-21 Stress Score"/>
    <tableColumn id="11" xr3:uid="{00000000-0010-0000-0300-00000B000000}" name="Expected Model (Auto)"/>
    <tableColumn id="12" xr3:uid="{00000000-0010-0000-0300-00000C000000}" name="App Selected Model"/>
    <tableColumn id="13" xr3:uid="{00000000-0010-0000-0300-00000D000000}" name="Routing Check (Auto)"/>
    <tableColumn id="14" xr3:uid="{00000000-0010-0000-0300-00000E000000}" name="Predicted GPA Run 1"/>
    <tableColumn id="15" xr3:uid="{00000000-0010-0000-0300-00000F000000}" name="Predicted GPA Run 2"/>
    <tableColumn id="16" xr3:uid="{00000000-0010-0000-0300-000010000000}" name="Difference (Auto)"/>
    <tableColumn id="17" xr3:uid="{00000000-0010-0000-0300-000011000000}" name="GPA Range Check (Auto)"/>
    <tableColumn id="18" xr3:uid="{00000000-0010-0000-0300-000012000000}" name="Repeatability Check (Auto)"/>
    <tableColumn id="19" xr3:uid="{00000000-0010-0000-0300-000013000000}" name="Attendance Warning Expected"/>
    <tableColumn id="20" xr3:uid="{00000000-0010-0000-0300-000014000000}" name="Attendance Warning Shown"/>
    <tableColumn id="21" xr3:uid="{00000000-0010-0000-0300-000015000000}" name="Warning Check (Auto)"/>
    <tableColumn id="22" xr3:uid="{00000000-0010-0000-0300-000016000000}" name="Explanation Helpful 1–5"/>
    <tableColumn id="23" xr3:uid="{00000000-0010-0000-0300-000017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abilityFeedbackTable" displayName="UsabilityFeedbackTable" ref="A5:S55" totalsRowShown="0">
  <tableColumns count="19">
    <tableColumn id="1" xr3:uid="{00000000-0010-0000-0400-000001000000}" name="Participant Code"/>
    <tableColumn id="2" xr3:uid="{00000000-0010-0000-0400-000002000000}" name="Feedback Date"/>
    <tableColumn id="3" xr3:uid="{00000000-0010-0000-0400-000003000000}" name="Q1"/>
    <tableColumn id="4" xr3:uid="{00000000-0010-0000-0400-000004000000}" name="Q2"/>
    <tableColumn id="5" xr3:uid="{00000000-0010-0000-0400-000005000000}" name="Q3"/>
    <tableColumn id="6" xr3:uid="{00000000-0010-0000-0400-000006000000}" name="Q4"/>
    <tableColumn id="7" xr3:uid="{00000000-0010-0000-0400-000007000000}" name="Q5"/>
    <tableColumn id="8" xr3:uid="{00000000-0010-0000-0400-000008000000}" name="Q6"/>
    <tableColumn id="9" xr3:uid="{00000000-0010-0000-0400-000009000000}" name="Q7"/>
    <tableColumn id="10" xr3:uid="{00000000-0010-0000-0400-00000A000000}" name="Q8"/>
    <tableColumn id="11" xr3:uid="{00000000-0010-0000-0400-00000B000000}" name="Q9"/>
    <tableColumn id="12" xr3:uid="{00000000-0010-0000-0400-00000C000000}" name="Q10"/>
    <tableColumn id="13" xr3:uid="{00000000-0010-0000-0400-00000D000000}" name="Q11"/>
    <tableColumn id="14" xr3:uid="{00000000-0010-0000-0400-00000E000000}" name="Q12"/>
    <tableColumn id="15" xr3:uid="{00000000-0010-0000-0400-00000F000000}" name="Average Rating"/>
    <tableColumn id="16" xr3:uid="{00000000-0010-0000-0400-000010000000}" name="Would Recommend"/>
    <tableColumn id="17" xr3:uid="{00000000-0010-0000-0400-000011000000}" name="Most Useful Feature"/>
    <tableColumn id="18" xr3:uid="{00000000-0010-0000-0400-000012000000}" name="Most Difficult Part"/>
    <tableColumn id="19" xr3:uid="{00000000-0010-0000-0400-000013000000}" name="Suggested Improve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fectLogTable" displayName="DefectLogTable" ref="A5:P105" totalsRowShown="0">
  <tableColumns count="16">
    <tableColumn id="1" xr3:uid="{00000000-0010-0000-0500-000001000000}" name="Defect ID"/>
    <tableColumn id="2" xr3:uid="{00000000-0010-0000-0500-000002000000}" name="Related Execution ID"/>
    <tableColumn id="3" xr3:uid="{00000000-0010-0000-0500-000003000000}" name="Participant Code"/>
    <tableColumn id="4" xr3:uid="{00000000-0010-0000-0500-000004000000}" name="Area"/>
    <tableColumn id="5" xr3:uid="{00000000-0010-0000-0500-000005000000}" name="Model"/>
    <tableColumn id="6" xr3:uid="{00000000-0010-0000-0500-000006000000}" name="Short Title"/>
    <tableColumn id="7" xr3:uid="{00000000-0010-0000-0500-000007000000}" name="Description"/>
    <tableColumn id="8" xr3:uid="{00000000-0010-0000-0500-000008000000}" name="Reproduction Steps"/>
    <tableColumn id="9" xr3:uid="{00000000-0010-0000-0500-000009000000}" name="Expected Result"/>
    <tableColumn id="10" xr3:uid="{00000000-0010-0000-0500-00000A000000}" name="Actual Result"/>
    <tableColumn id="11" xr3:uid="{00000000-0010-0000-0500-00000B000000}" name="Severity"/>
    <tableColumn id="12" xr3:uid="{00000000-0010-0000-0500-00000C000000}" name="Priority"/>
    <tableColumn id="13" xr3:uid="{00000000-0010-0000-0500-00000D000000}" name="Status"/>
    <tableColumn id="14" xr3:uid="{00000000-0010-0000-0500-00000E000000}" name="Reported Date"/>
    <tableColumn id="15" xr3:uid="{00000000-0010-0000-0500-00000F000000}" name="Evidence Ref"/>
    <tableColumn id="16" xr3:uid="{00000000-0010-0000-0500-000010000000}" name="Resolution / Retes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opLeftCell="A10" workbookViewId="0">
      <selection activeCell="C27" sqref="C27"/>
    </sheetView>
  </sheetViews>
  <sheetFormatPr defaultRowHeight="13.8"/>
  <cols>
    <col min="1" max="1" width="8" customWidth="1"/>
    <col min="2" max="2" width="38.296875" customWidth="1"/>
    <col min="3" max="3" width="86.5" customWidth="1"/>
    <col min="4" max="4" width="46" customWidth="1"/>
    <col min="5" max="8" width="14" customWidth="1"/>
  </cols>
  <sheetData>
    <row r="1" spans="1:4" ht="30" customHeight="1">
      <c r="A1" s="39" t="s">
        <v>0</v>
      </c>
      <c r="B1" s="39"/>
      <c r="C1" s="39"/>
    </row>
    <row r="2" spans="1:4" ht="30" customHeight="1">
      <c r="A2" s="31" t="s">
        <v>1</v>
      </c>
      <c r="B2" s="31"/>
      <c r="C2" s="31"/>
    </row>
    <row r="4" spans="1:4" ht="15.6">
      <c r="A4" s="30" t="s">
        <v>2</v>
      </c>
      <c r="B4" s="30"/>
      <c r="C4" s="30"/>
    </row>
    <row r="5" spans="1:4" ht="45" customHeight="1">
      <c r="A5" s="23" t="s">
        <v>3</v>
      </c>
      <c r="B5" s="24" t="s">
        <v>4</v>
      </c>
      <c r="C5" s="25" t="s">
        <v>5</v>
      </c>
    </row>
    <row r="6" spans="1:4" ht="45" customHeight="1">
      <c r="A6" s="23" t="s">
        <v>6</v>
      </c>
      <c r="B6" s="24" t="s">
        <v>7</v>
      </c>
      <c r="C6" s="25" t="s">
        <v>8</v>
      </c>
    </row>
    <row r="7" spans="1:4" ht="45" customHeight="1">
      <c r="A7" s="23" t="s">
        <v>9</v>
      </c>
      <c r="B7" s="24" t="s">
        <v>10</v>
      </c>
      <c r="C7" s="25" t="s">
        <v>11</v>
      </c>
    </row>
    <row r="8" spans="1:4" ht="45" customHeight="1">
      <c r="A8" s="23" t="s">
        <v>12</v>
      </c>
      <c r="B8" s="24" t="s">
        <v>13</v>
      </c>
      <c r="C8" s="25" t="s">
        <v>14</v>
      </c>
    </row>
    <row r="9" spans="1:4" ht="45" customHeight="1">
      <c r="A9" s="23" t="s">
        <v>15</v>
      </c>
      <c r="B9" s="24" t="s">
        <v>16</v>
      </c>
      <c r="C9" s="25" t="s">
        <v>17</v>
      </c>
    </row>
    <row r="10" spans="1:4" ht="45" customHeight="1">
      <c r="A10" s="23" t="s">
        <v>18</v>
      </c>
      <c r="B10" s="24" t="s">
        <v>19</v>
      </c>
      <c r="C10" s="25" t="s">
        <v>20</v>
      </c>
    </row>
    <row r="11" spans="1:4" ht="45" customHeight="1">
      <c r="A11" s="23" t="s">
        <v>21</v>
      </c>
      <c r="B11" s="24" t="s">
        <v>22</v>
      </c>
      <c r="C11" s="25" t="s">
        <v>23</v>
      </c>
    </row>
    <row r="12" spans="1:4" ht="45" customHeight="1">
      <c r="A12" s="23" t="s">
        <v>24</v>
      </c>
      <c r="B12" s="24" t="s">
        <v>25</v>
      </c>
      <c r="C12" s="25" t="s">
        <v>26</v>
      </c>
    </row>
    <row r="14" spans="1:4" ht="15.6">
      <c r="A14" s="32" t="s">
        <v>27</v>
      </c>
      <c r="B14" s="32"/>
      <c r="C14" s="32"/>
      <c r="D14" s="32"/>
    </row>
    <row r="15" spans="1:4" ht="34.049999999999997" customHeight="1">
      <c r="A15" s="21" t="s">
        <v>28</v>
      </c>
      <c r="B15" s="21" t="s">
        <v>29</v>
      </c>
      <c r="C15" s="21" t="s">
        <v>30</v>
      </c>
      <c r="D15" s="21" t="s">
        <v>31</v>
      </c>
    </row>
    <row r="16" spans="1:4">
      <c r="A16" s="22" t="s">
        <v>32</v>
      </c>
      <c r="B16" s="22" t="s">
        <v>33</v>
      </c>
      <c r="C16" s="22" t="s">
        <v>34</v>
      </c>
      <c r="D16" s="22" t="s">
        <v>35</v>
      </c>
    </row>
    <row r="17" spans="1:8">
      <c r="A17" s="22" t="s">
        <v>36</v>
      </c>
      <c r="B17" s="22" t="s">
        <v>37</v>
      </c>
      <c r="C17" s="22" t="s">
        <v>38</v>
      </c>
      <c r="D17" s="22" t="s">
        <v>39</v>
      </c>
    </row>
    <row r="18" spans="1:8">
      <c r="A18" s="22" t="s">
        <v>40</v>
      </c>
      <c r="B18" s="22" t="s">
        <v>41</v>
      </c>
      <c r="C18" s="22" t="s">
        <v>42</v>
      </c>
      <c r="D18" s="22" t="s">
        <v>43</v>
      </c>
    </row>
    <row r="20" spans="1:8">
      <c r="A20" s="33" t="s">
        <v>44</v>
      </c>
      <c r="B20" s="34"/>
      <c r="C20" s="34"/>
      <c r="D20" s="34"/>
      <c r="E20" s="34"/>
      <c r="F20" s="34"/>
      <c r="G20" s="34"/>
      <c r="H20" s="35"/>
    </row>
    <row r="21" spans="1:8">
      <c r="A21" s="36"/>
      <c r="B21" s="37"/>
      <c r="C21" s="37"/>
      <c r="D21" s="37"/>
      <c r="E21" s="37"/>
      <c r="F21" s="37"/>
      <c r="G21" s="37"/>
      <c r="H21" s="38"/>
    </row>
    <row r="23" spans="1:8" ht="15.6">
      <c r="A23" s="30" t="s">
        <v>45</v>
      </c>
      <c r="B23" s="30"/>
      <c r="C23" s="30"/>
      <c r="D23" s="30"/>
    </row>
    <row r="24" spans="1:8" ht="34.049999999999997" customHeight="1">
      <c r="A24" s="21" t="s">
        <v>46</v>
      </c>
      <c r="B24" s="21" t="s">
        <v>47</v>
      </c>
      <c r="C24" s="21" t="s">
        <v>46</v>
      </c>
      <c r="D24" s="21" t="s">
        <v>47</v>
      </c>
    </row>
    <row r="25" spans="1:8" ht="22.8">
      <c r="A25" s="22" t="s">
        <v>48</v>
      </c>
      <c r="B25" s="22" t="s">
        <v>49</v>
      </c>
      <c r="C25" s="22" t="s">
        <v>50</v>
      </c>
      <c r="D25" s="22" t="s">
        <v>51</v>
      </c>
    </row>
    <row r="26" spans="1:8">
      <c r="A26" s="22" t="s">
        <v>52</v>
      </c>
      <c r="B26" s="22" t="s">
        <v>53</v>
      </c>
      <c r="C26" s="22" t="s">
        <v>54</v>
      </c>
      <c r="D26" s="22" t="s">
        <v>55</v>
      </c>
    </row>
    <row r="27" spans="1:8" ht="36.6" customHeight="1">
      <c r="A27" s="22" t="s">
        <v>56</v>
      </c>
      <c r="B27" s="22" t="s">
        <v>57</v>
      </c>
      <c r="C27" s="22" t="s">
        <v>58</v>
      </c>
      <c r="D27" s="22" t="s">
        <v>59</v>
      </c>
    </row>
    <row r="28" spans="1:8" ht="28.8" customHeight="1">
      <c r="A28" s="22" t="s">
        <v>60</v>
      </c>
      <c r="B28" s="22" t="s">
        <v>61</v>
      </c>
      <c r="C28" s="22" t="s">
        <v>62</v>
      </c>
      <c r="D28" s="22" t="s">
        <v>63</v>
      </c>
    </row>
    <row r="29" spans="1:8">
      <c r="A29" s="22" t="s">
        <v>64</v>
      </c>
      <c r="B29" s="22" t="s">
        <v>65</v>
      </c>
      <c r="C29" s="22" t="s">
        <v>66</v>
      </c>
      <c r="D29" s="22" t="s">
        <v>67</v>
      </c>
    </row>
    <row r="31" spans="1:8">
      <c r="A31" s="29" t="s">
        <v>68</v>
      </c>
      <c r="B31" s="29"/>
      <c r="C31" s="29"/>
      <c r="D31" s="29"/>
      <c r="E31" s="29"/>
      <c r="F31" s="29"/>
      <c r="G31" s="29"/>
      <c r="H31" s="29"/>
    </row>
    <row r="32" spans="1:8">
      <c r="A32" s="29"/>
      <c r="B32" s="29"/>
      <c r="C32" s="29"/>
      <c r="D32" s="29"/>
      <c r="E32" s="29"/>
      <c r="F32" s="29"/>
      <c r="G32" s="29"/>
      <c r="H32" s="29"/>
    </row>
  </sheetData>
  <mergeCells count="7">
    <mergeCell ref="A1:C1"/>
    <mergeCell ref="A31:H32"/>
    <mergeCell ref="A4:C4"/>
    <mergeCell ref="A2:C2"/>
    <mergeCell ref="A14:D14"/>
    <mergeCell ref="A23:D23"/>
    <mergeCell ref="A20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showGridLines="0" workbookViewId="0">
      <selection activeCell="H8" sqref="H8"/>
    </sheetView>
  </sheetViews>
  <sheetFormatPr defaultRowHeight="13.8"/>
  <cols>
    <col min="1" max="1" width="18" customWidth="1"/>
    <col min="2" max="2" width="25" customWidth="1"/>
    <col min="3" max="5" width="15" customWidth="1"/>
    <col min="6" max="6" width="17" customWidth="1"/>
    <col min="7" max="7" width="24" customWidth="1"/>
    <col min="8" max="8" width="22" customWidth="1"/>
    <col min="9" max="9" width="19" customWidth="1"/>
    <col min="10" max="10" width="14" customWidth="1"/>
    <col min="11" max="11" width="22" customWidth="1"/>
  </cols>
  <sheetData>
    <row r="1" spans="1:11" ht="30" customHeight="1">
      <c r="A1" s="26" t="s">
        <v>69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0" customHeight="1">
      <c r="A2" s="27" t="s">
        <v>70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30" customHeight="1">
      <c r="A4" s="40" t="s">
        <v>71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ht="34.049999999999997" customHeight="1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</row>
    <row r="6" spans="1:11">
      <c r="A6" s="3"/>
      <c r="B6" s="3"/>
      <c r="C6" s="3"/>
      <c r="D6" s="3"/>
      <c r="E6" s="3"/>
      <c r="F6" s="3"/>
      <c r="G6" s="3"/>
      <c r="H6" s="3"/>
      <c r="I6" s="3"/>
      <c r="J6" s="7"/>
      <c r="K6" s="5" t="str">
        <f>IF($A6="","",IFERROR(COUNTIFS('Test Execution'!$B$6:$B$205,$A6,'Test Execution'!$I$6:$I$205,"&lt;&gt;Not Run",'Test Execution'!$I$6:$I$205,"&lt;&gt;")/COUNTA('Test Case Catalogue'!$A$6:$A$90),0))</f>
        <v/>
      </c>
    </row>
    <row r="7" spans="1:11">
      <c r="A7" s="4"/>
      <c r="B7" s="4"/>
      <c r="C7" s="4"/>
      <c r="D7" s="4"/>
      <c r="E7" s="4"/>
      <c r="F7" s="4"/>
      <c r="G7" s="4"/>
      <c r="H7" s="4"/>
      <c r="I7" s="4"/>
      <c r="J7" s="8"/>
      <c r="K7" s="6" t="str">
        <f>IF($A7="","",IFERROR(COUNTIFS('Test Execution'!$B$6:$B$205,$A7,'Test Execution'!$I$6:$I$205,"&lt;&gt;Not Run",'Test Execution'!$I$6:$I$205,"&lt;&gt;")/COUNTA('Test Case Catalogue'!$A$6:$A$90),0))</f>
        <v/>
      </c>
    </row>
    <row r="8" spans="1:11">
      <c r="A8" s="4"/>
      <c r="B8" s="4"/>
      <c r="C8" s="4"/>
      <c r="D8" s="4"/>
      <c r="E8" s="4"/>
      <c r="F8" s="4"/>
      <c r="G8" s="4"/>
      <c r="H8" s="4"/>
      <c r="I8" s="4"/>
      <c r="J8" s="8"/>
      <c r="K8" s="6" t="str">
        <f>IF($A8="","",IFERROR(COUNTIFS('Test Execution'!$B$6:$B$205,$A8,'Test Execution'!$I$6:$I$205,"&lt;&gt;Not Run",'Test Execution'!$I$6:$I$205,"&lt;&gt;")/COUNTA('Test Case Catalogue'!$A$6:$A$90),0))</f>
        <v/>
      </c>
    </row>
    <row r="9" spans="1:11">
      <c r="A9" s="4"/>
      <c r="B9" s="4"/>
      <c r="C9" s="4"/>
      <c r="D9" s="4"/>
      <c r="E9" s="4"/>
      <c r="F9" s="4"/>
      <c r="G9" s="4"/>
      <c r="H9" s="4"/>
      <c r="I9" s="4"/>
      <c r="J9" s="8"/>
      <c r="K9" s="6" t="str">
        <f>IF($A9="","",IFERROR(COUNTIFS('Test Execution'!$B$6:$B$205,$A9,'Test Execution'!$I$6:$I$205,"&lt;&gt;Not Run",'Test Execution'!$I$6:$I$205,"&lt;&gt;")/COUNTA('Test Case Catalogue'!$A$6:$A$90),0))</f>
        <v/>
      </c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8"/>
      <c r="K10" s="6" t="str">
        <f>IF($A10="","",IFERROR(COUNTIFS('Test Execution'!$B$6:$B$205,$A10,'Test Execution'!$I$6:$I$205,"&lt;&gt;Not Run",'Test Execution'!$I$6:$I$205,"&lt;&gt;")/COUNTA('Test Case Catalogue'!$A$6:$A$90),0))</f>
        <v/>
      </c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8"/>
      <c r="K11" s="6" t="str">
        <f>IF($A11="","",IFERROR(COUNTIFS('Test Execution'!$B$6:$B$205,$A11,'Test Execution'!$I$6:$I$205,"&lt;&gt;Not Run",'Test Execution'!$I$6:$I$205,"&lt;&gt;")/COUNTA('Test Case Catalogue'!$A$6:$A$90),0))</f>
        <v/>
      </c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8"/>
      <c r="K12" s="6" t="str">
        <f>IF($A12="","",IFERROR(COUNTIFS('Test Execution'!$B$6:$B$205,$A12,'Test Execution'!$I$6:$I$205,"&lt;&gt;Not Run",'Test Execution'!$I$6:$I$205,"&lt;&gt;")/COUNTA('Test Case Catalogue'!$A$6:$A$90),0))</f>
        <v/>
      </c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8"/>
      <c r="K13" s="6" t="str">
        <f>IF($A13="","",IFERROR(COUNTIFS('Test Execution'!$B$6:$B$205,$A13,'Test Execution'!$I$6:$I$205,"&lt;&gt;Not Run",'Test Execution'!$I$6:$I$205,"&lt;&gt;")/COUNTA('Test Case Catalogue'!$A$6:$A$90),0))</f>
        <v/>
      </c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8"/>
      <c r="K14" s="6" t="str">
        <f>IF($A14="","",IFERROR(COUNTIFS('Test Execution'!$B$6:$B$205,$A14,'Test Execution'!$I$6:$I$205,"&lt;&gt;Not Run",'Test Execution'!$I$6:$I$205,"&lt;&gt;")/COUNTA('Test Case Catalogue'!$A$6:$A$90),0))</f>
        <v/>
      </c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8"/>
      <c r="K15" s="6" t="str">
        <f>IF($A15="","",IFERROR(COUNTIFS('Test Execution'!$B$6:$B$205,$A15,'Test Execution'!$I$6:$I$205,"&lt;&gt;Not Run",'Test Execution'!$I$6:$I$205,"&lt;&gt;")/COUNTA('Test Case Catalogue'!$A$6:$A$90),0))</f>
        <v/>
      </c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8"/>
      <c r="K16" s="6" t="str">
        <f>IF($A16="","",IFERROR(COUNTIFS('Test Execution'!$B$6:$B$205,$A16,'Test Execution'!$I$6:$I$205,"&lt;&gt;Not Run",'Test Execution'!$I$6:$I$205,"&lt;&gt;")/COUNTA('Test Case Catalogue'!$A$6:$A$90),0))</f>
        <v/>
      </c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8"/>
      <c r="K17" s="6" t="str">
        <f>IF($A17="","",IFERROR(COUNTIFS('Test Execution'!$B$6:$B$205,$A17,'Test Execution'!$I$6:$I$205,"&lt;&gt;Not Run",'Test Execution'!$I$6:$I$205,"&lt;&gt;")/COUNTA('Test Case Catalogue'!$A$6:$A$90),0))</f>
        <v/>
      </c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8"/>
      <c r="K18" s="6" t="str">
        <f>IF($A18="","",IFERROR(COUNTIFS('Test Execution'!$B$6:$B$205,$A18,'Test Execution'!$I$6:$I$205,"&lt;&gt;Not Run",'Test Execution'!$I$6:$I$205,"&lt;&gt;")/COUNTA('Test Case Catalogue'!$A$6:$A$90),0))</f>
        <v/>
      </c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8"/>
      <c r="K19" s="6" t="str">
        <f>IF($A19="","",IFERROR(COUNTIFS('Test Execution'!$B$6:$B$205,$A19,'Test Execution'!$I$6:$I$205,"&lt;&gt;Not Run",'Test Execution'!$I$6:$I$205,"&lt;&gt;")/COUNTA('Test Case Catalogue'!$A$6:$A$90),0))</f>
        <v/>
      </c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8"/>
      <c r="K20" s="6" t="str">
        <f>IF($A20="","",IFERROR(COUNTIFS('Test Execution'!$B$6:$B$205,$A20,'Test Execution'!$I$6:$I$205,"&lt;&gt;Not Run",'Test Execution'!$I$6:$I$205,"&lt;&gt;")/COUNTA('Test Case Catalogue'!$A$6:$A$90),0))</f>
        <v/>
      </c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8"/>
      <c r="K21" s="6" t="str">
        <f>IF($A21="","",IFERROR(COUNTIFS('Test Execution'!$B$6:$B$205,$A21,'Test Execution'!$I$6:$I$205,"&lt;&gt;Not Run",'Test Execution'!$I$6:$I$205,"&lt;&gt;")/COUNTA('Test Case Catalogue'!$A$6:$A$90),0))</f>
        <v/>
      </c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8"/>
      <c r="K22" s="6" t="str">
        <f>IF($A22="","",IFERROR(COUNTIFS('Test Execution'!$B$6:$B$205,$A22,'Test Execution'!$I$6:$I$205,"&lt;&gt;Not Run",'Test Execution'!$I$6:$I$205,"&lt;&gt;")/COUNTA('Test Case Catalogue'!$A$6:$A$90),0))</f>
        <v/>
      </c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8"/>
      <c r="K23" s="6" t="str">
        <f>IF($A23="","",IFERROR(COUNTIFS('Test Execution'!$B$6:$B$205,$A23,'Test Execution'!$I$6:$I$205,"&lt;&gt;Not Run",'Test Execution'!$I$6:$I$205,"&lt;&gt;")/COUNTA('Test Case Catalogue'!$A$6:$A$90),0))</f>
        <v/>
      </c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8"/>
      <c r="K24" s="6" t="str">
        <f>IF($A24="","",IFERROR(COUNTIFS('Test Execution'!$B$6:$B$205,$A24,'Test Execution'!$I$6:$I$205,"&lt;&gt;Not Run",'Test Execution'!$I$6:$I$205,"&lt;&gt;")/COUNTA('Test Case Catalogue'!$A$6:$A$90),0))</f>
        <v/>
      </c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8"/>
      <c r="K25" s="6" t="str">
        <f>IF($A25="","",IFERROR(COUNTIFS('Test Execution'!$B$6:$B$205,$A25,'Test Execution'!$I$6:$I$205,"&lt;&gt;Not Run",'Test Execution'!$I$6:$I$205,"&lt;&gt;")/COUNTA('Test Case Catalogue'!$A$6:$A$90),0))</f>
        <v/>
      </c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8"/>
      <c r="K26" s="6" t="str">
        <f>IF($A26="","",IFERROR(COUNTIFS('Test Execution'!$B$6:$B$205,$A26,'Test Execution'!$I$6:$I$205,"&lt;&gt;Not Run",'Test Execution'!$I$6:$I$205,"&lt;&gt;")/COUNTA('Test Case Catalogue'!$A$6:$A$90),0))</f>
        <v/>
      </c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8"/>
      <c r="K27" s="6" t="str">
        <f>IF($A27="","",IFERROR(COUNTIFS('Test Execution'!$B$6:$B$205,$A27,'Test Execution'!$I$6:$I$205,"&lt;&gt;Not Run",'Test Execution'!$I$6:$I$205,"&lt;&gt;")/COUNTA('Test Case Catalogue'!$A$6:$A$90),0))</f>
        <v/>
      </c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8"/>
      <c r="K28" s="6" t="str">
        <f>IF($A28="","",IFERROR(COUNTIFS('Test Execution'!$B$6:$B$205,$A28,'Test Execution'!$I$6:$I$205,"&lt;&gt;Not Run",'Test Execution'!$I$6:$I$205,"&lt;&gt;")/COUNTA('Test Case Catalogue'!$A$6:$A$90),0))</f>
        <v/>
      </c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8"/>
      <c r="K29" s="6" t="str">
        <f>IF($A29="","",IFERROR(COUNTIFS('Test Execution'!$B$6:$B$205,$A29,'Test Execution'!$I$6:$I$205,"&lt;&gt;Not Run",'Test Execution'!$I$6:$I$205,"&lt;&gt;")/COUNTA('Test Case Catalogue'!$A$6:$A$90),0))</f>
        <v/>
      </c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8"/>
      <c r="K30" s="6" t="str">
        <f>IF($A30="","",IFERROR(COUNTIFS('Test Execution'!$B$6:$B$205,$A30,'Test Execution'!$I$6:$I$205,"&lt;&gt;Not Run",'Test Execution'!$I$6:$I$205,"&lt;&gt;")/COUNTA('Test Case Catalogue'!$A$6:$A$90),0))</f>
        <v/>
      </c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8"/>
      <c r="K31" s="6" t="str">
        <f>IF($A31="","",IFERROR(COUNTIFS('Test Execution'!$B$6:$B$205,$A31,'Test Execution'!$I$6:$I$205,"&lt;&gt;Not Run",'Test Execution'!$I$6:$I$205,"&lt;&gt;")/COUNTA('Test Case Catalogue'!$A$6:$A$90),0))</f>
        <v/>
      </c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8"/>
      <c r="K32" s="6" t="str">
        <f>IF($A32="","",IFERROR(COUNTIFS('Test Execution'!$B$6:$B$205,$A32,'Test Execution'!$I$6:$I$205,"&lt;&gt;Not Run",'Test Execution'!$I$6:$I$205,"&lt;&gt;")/COUNTA('Test Case Catalogue'!$A$6:$A$90),0))</f>
        <v/>
      </c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8"/>
      <c r="K33" s="6" t="str">
        <f>IF($A33="","",IFERROR(COUNTIFS('Test Execution'!$B$6:$B$205,$A33,'Test Execution'!$I$6:$I$205,"&lt;&gt;Not Run",'Test Execution'!$I$6:$I$205,"&lt;&gt;")/COUNTA('Test Case Catalogue'!$A$6:$A$90),0))</f>
        <v/>
      </c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8"/>
      <c r="K34" s="6" t="str">
        <f>IF($A34="","",IFERROR(COUNTIFS('Test Execution'!$B$6:$B$205,$A34,'Test Execution'!$I$6:$I$205,"&lt;&gt;Not Run",'Test Execution'!$I$6:$I$205,"&lt;&gt;")/COUNTA('Test Case Catalogue'!$A$6:$A$90),0))</f>
        <v/>
      </c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8"/>
      <c r="K35" s="6" t="str">
        <f>IF($A35="","",IFERROR(COUNTIFS('Test Execution'!$B$6:$B$205,$A35,'Test Execution'!$I$6:$I$205,"&lt;&gt;Not Run",'Test Execution'!$I$6:$I$205,"&lt;&gt;")/COUNTA('Test Case Catalogue'!$A$6:$A$90),0))</f>
        <v/>
      </c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8"/>
      <c r="K36" s="6" t="str">
        <f>IF($A36="","",IFERROR(COUNTIFS('Test Execution'!$B$6:$B$205,$A36,'Test Execution'!$I$6:$I$205,"&lt;&gt;Not Run",'Test Execution'!$I$6:$I$205,"&lt;&gt;")/COUNTA('Test Case Catalogue'!$A$6:$A$90),0))</f>
        <v/>
      </c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8"/>
      <c r="K37" s="6" t="str">
        <f>IF($A37="","",IFERROR(COUNTIFS('Test Execution'!$B$6:$B$205,$A37,'Test Execution'!$I$6:$I$205,"&lt;&gt;Not Run",'Test Execution'!$I$6:$I$205,"&lt;&gt;")/COUNTA('Test Case Catalogue'!$A$6:$A$90),0))</f>
        <v/>
      </c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8"/>
      <c r="K38" s="6" t="str">
        <f>IF($A38="","",IFERROR(COUNTIFS('Test Execution'!$B$6:$B$205,$A38,'Test Execution'!$I$6:$I$205,"&lt;&gt;Not Run",'Test Execution'!$I$6:$I$205,"&lt;&gt;")/COUNTA('Test Case Catalogue'!$A$6:$A$90),0))</f>
        <v/>
      </c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8"/>
      <c r="K39" s="6" t="str">
        <f>IF($A39="","",IFERROR(COUNTIFS('Test Execution'!$B$6:$B$205,$A39,'Test Execution'!$I$6:$I$205,"&lt;&gt;Not Run",'Test Execution'!$I$6:$I$205,"&lt;&gt;")/COUNTA('Test Case Catalogue'!$A$6:$A$90),0))</f>
        <v/>
      </c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8"/>
      <c r="K40" s="6" t="str">
        <f>IF($A40="","",IFERROR(COUNTIFS('Test Execution'!$B$6:$B$205,$A40,'Test Execution'!$I$6:$I$205,"&lt;&gt;Not Run",'Test Execution'!$I$6:$I$205,"&lt;&gt;")/COUNTA('Test Case Catalogue'!$A$6:$A$90),0))</f>
        <v/>
      </c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8"/>
      <c r="K41" s="6" t="str">
        <f>IF($A41="","",IFERROR(COUNTIFS('Test Execution'!$B$6:$B$205,$A41,'Test Execution'!$I$6:$I$205,"&lt;&gt;Not Run",'Test Execution'!$I$6:$I$205,"&lt;&gt;")/COUNTA('Test Case Catalogue'!$A$6:$A$90),0))</f>
        <v/>
      </c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8"/>
      <c r="K42" s="6" t="str">
        <f>IF($A42="","",IFERROR(COUNTIFS('Test Execution'!$B$6:$B$205,$A42,'Test Execution'!$I$6:$I$205,"&lt;&gt;Not Run",'Test Execution'!$I$6:$I$205,"&lt;&gt;")/COUNTA('Test Case Catalogue'!$A$6:$A$90),0))</f>
        <v/>
      </c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8"/>
      <c r="K43" s="6" t="str">
        <f>IF($A43="","",IFERROR(COUNTIFS('Test Execution'!$B$6:$B$205,$A43,'Test Execution'!$I$6:$I$205,"&lt;&gt;Not Run",'Test Execution'!$I$6:$I$205,"&lt;&gt;")/COUNTA('Test Case Catalogue'!$A$6:$A$90),0))</f>
        <v/>
      </c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8"/>
      <c r="K44" s="6" t="str">
        <f>IF($A44="","",IFERROR(COUNTIFS('Test Execution'!$B$6:$B$205,$A44,'Test Execution'!$I$6:$I$205,"&lt;&gt;Not Run",'Test Execution'!$I$6:$I$205,"&lt;&gt;")/COUNTA('Test Case Catalogue'!$A$6:$A$90),0))</f>
        <v/>
      </c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8"/>
      <c r="K45" s="6" t="str">
        <f>IF($A45="","",IFERROR(COUNTIFS('Test Execution'!$B$6:$B$205,$A45,'Test Execution'!$I$6:$I$205,"&lt;&gt;Not Run",'Test Execution'!$I$6:$I$205,"&lt;&gt;")/COUNTA('Test Case Catalogue'!$A$6:$A$90),0))</f>
        <v/>
      </c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8"/>
      <c r="K46" s="6" t="str">
        <f>IF($A46="","",IFERROR(COUNTIFS('Test Execution'!$B$6:$B$205,$A46,'Test Execution'!$I$6:$I$205,"&lt;&gt;Not Run",'Test Execution'!$I$6:$I$205,"&lt;&gt;")/COUNTA('Test Case Catalogue'!$A$6:$A$90),0))</f>
        <v/>
      </c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8"/>
      <c r="K47" s="6" t="str">
        <f>IF($A47="","",IFERROR(COUNTIFS('Test Execution'!$B$6:$B$205,$A47,'Test Execution'!$I$6:$I$205,"&lt;&gt;Not Run",'Test Execution'!$I$6:$I$205,"&lt;&gt;")/COUNTA('Test Case Catalogue'!$A$6:$A$90),0))</f>
        <v/>
      </c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8"/>
      <c r="K48" s="6" t="str">
        <f>IF($A48="","",IFERROR(COUNTIFS('Test Execution'!$B$6:$B$205,$A48,'Test Execution'!$I$6:$I$205,"&lt;&gt;Not Run",'Test Execution'!$I$6:$I$205,"&lt;&gt;")/COUNTA('Test Case Catalogue'!$A$6:$A$90),0))</f>
        <v/>
      </c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8"/>
      <c r="K49" s="6" t="str">
        <f>IF($A49="","",IFERROR(COUNTIFS('Test Execution'!$B$6:$B$205,$A49,'Test Execution'!$I$6:$I$205,"&lt;&gt;Not Run",'Test Execution'!$I$6:$I$205,"&lt;&gt;")/COUNTA('Test Case Catalogue'!$A$6:$A$90),0))</f>
        <v/>
      </c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8"/>
      <c r="K50" s="6" t="str">
        <f>IF($A50="","",IFERROR(COUNTIFS('Test Execution'!$B$6:$B$205,$A50,'Test Execution'!$I$6:$I$205,"&lt;&gt;Not Run",'Test Execution'!$I$6:$I$205,"&lt;&gt;")/COUNTA('Test Case Catalogue'!$A$6:$A$90),0))</f>
        <v/>
      </c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8"/>
      <c r="K51" s="6" t="str">
        <f>IF($A51="","",IFERROR(COUNTIFS('Test Execution'!$B$6:$B$205,$A51,'Test Execution'!$I$6:$I$205,"&lt;&gt;Not Run",'Test Execution'!$I$6:$I$205,"&lt;&gt;")/COUNTA('Test Case Catalogue'!$A$6:$A$90),0))</f>
        <v/>
      </c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8"/>
      <c r="K52" s="6" t="str">
        <f>IF($A52="","",IFERROR(COUNTIFS('Test Execution'!$B$6:$B$205,$A52,'Test Execution'!$I$6:$I$205,"&lt;&gt;Not Run",'Test Execution'!$I$6:$I$205,"&lt;&gt;")/COUNTA('Test Case Catalogue'!$A$6:$A$90),0))</f>
        <v/>
      </c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8"/>
      <c r="K53" s="6" t="str">
        <f>IF($A53="","",IFERROR(COUNTIFS('Test Execution'!$B$6:$B$205,$A53,'Test Execution'!$I$6:$I$205,"&lt;&gt;Not Run",'Test Execution'!$I$6:$I$205,"&lt;&gt;")/COUNTA('Test Case Catalogue'!$A$6:$A$90),0))</f>
        <v/>
      </c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8"/>
      <c r="K54" s="6" t="str">
        <f>IF($A54="","",IFERROR(COUNTIFS('Test Execution'!$B$6:$B$205,$A54,'Test Execution'!$I$6:$I$205,"&lt;&gt;Not Run",'Test Execution'!$I$6:$I$205,"&lt;&gt;")/COUNTA('Test Case Catalogue'!$A$6:$A$90),0))</f>
        <v/>
      </c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8"/>
      <c r="K55" s="6" t="str">
        <f>IF($A55="","",IFERROR(COUNTIFS('Test Execution'!$B$6:$B$205,$A55,'Test Execution'!$I$6:$I$205,"&lt;&gt;Not Run",'Test Execution'!$I$6:$I$205,"&lt;&gt;")/COUNTA('Test Case Catalogue'!$A$6:$A$90),0))</f>
        <v/>
      </c>
    </row>
  </sheetData>
  <mergeCells count="3">
    <mergeCell ref="A1:K1"/>
    <mergeCell ref="A2:K2"/>
    <mergeCell ref="A4:K4"/>
  </mergeCells>
  <dataValidations count="3">
    <dataValidation type="list" sqref="D6:D55" xr:uid="{00000000-0002-0000-0100-000000000000}">
      <formula1>"Year 1,Year 2,Year 3,Year 4,Other"</formula1>
    </dataValidation>
    <dataValidation type="list" sqref="E6:E55" xr:uid="{00000000-0002-0000-0100-000001000000}">
      <formula1>"Semester 1,Semester 2,Other"</formula1>
    </dataValidation>
    <dataValidation type="list" sqref="H6:I55" xr:uid="{00000000-0002-0000-01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0"/>
  <sheetViews>
    <sheetView showGridLines="0" topLeftCell="A88" workbookViewId="0">
      <selection sqref="A1:M1"/>
    </sheetView>
  </sheetViews>
  <sheetFormatPr defaultRowHeight="13.8"/>
  <cols>
    <col min="1" max="1" width="13" customWidth="1"/>
    <col min="2" max="2" width="17" customWidth="1"/>
    <col min="3" max="3" width="27" customWidth="1"/>
    <col min="4" max="4" width="20" customWidth="1"/>
    <col min="5" max="5" width="15" customWidth="1"/>
    <col min="6" max="6" width="12" customWidth="1"/>
    <col min="7" max="8" width="34" customWidth="1"/>
    <col min="9" max="9" width="48" customWidth="1"/>
    <col min="10" max="10" width="50" customWidth="1"/>
    <col min="11" max="11" width="26" customWidth="1"/>
    <col min="12" max="12" width="13" customWidth="1"/>
    <col min="13" max="13" width="28" customWidth="1"/>
  </cols>
  <sheetData>
    <row r="1" spans="1:13" ht="30" customHeight="1">
      <c r="A1" s="26" t="s">
        <v>83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30" customHeight="1">
      <c r="A2" s="27" t="s">
        <v>84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>
      <c r="A4" s="40" t="s">
        <v>85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34.049999999999997" customHeight="1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93</v>
      </c>
      <c r="I5" s="2" t="s">
        <v>94</v>
      </c>
      <c r="J5" s="2" t="s">
        <v>95</v>
      </c>
      <c r="K5" s="2" t="s">
        <v>96</v>
      </c>
      <c r="L5" s="2" t="s">
        <v>97</v>
      </c>
      <c r="M5" s="2" t="s">
        <v>98</v>
      </c>
    </row>
    <row r="6" spans="1:13" ht="72" customHeight="1">
      <c r="A6" s="9" t="s">
        <v>99</v>
      </c>
      <c r="B6" s="3" t="s">
        <v>100</v>
      </c>
      <c r="C6" s="3" t="s">
        <v>101</v>
      </c>
      <c r="D6" s="3" t="s">
        <v>102</v>
      </c>
      <c r="E6" s="3" t="s">
        <v>103</v>
      </c>
      <c r="F6" s="3" t="s">
        <v>50</v>
      </c>
      <c r="G6" s="3" t="s">
        <v>104</v>
      </c>
      <c r="H6" s="3" t="s">
        <v>105</v>
      </c>
      <c r="I6" s="3" t="s">
        <v>106</v>
      </c>
      <c r="J6" s="3" t="s">
        <v>107</v>
      </c>
      <c r="K6" s="3" t="s">
        <v>108</v>
      </c>
      <c r="L6" s="3" t="s">
        <v>109</v>
      </c>
      <c r="M6" s="3" t="s">
        <v>110</v>
      </c>
    </row>
    <row r="7" spans="1:13" ht="72" customHeight="1">
      <c r="A7" s="10" t="s">
        <v>111</v>
      </c>
      <c r="B7" s="4" t="s">
        <v>100</v>
      </c>
      <c r="C7" s="4" t="s">
        <v>112</v>
      </c>
      <c r="D7" s="4" t="s">
        <v>102</v>
      </c>
      <c r="E7" s="4" t="s">
        <v>103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109</v>
      </c>
      <c r="L7" s="4" t="s">
        <v>118</v>
      </c>
      <c r="M7" s="4"/>
    </row>
    <row r="8" spans="1:13" ht="72" customHeight="1">
      <c r="A8" s="10" t="s">
        <v>119</v>
      </c>
      <c r="B8" s="4" t="s">
        <v>100</v>
      </c>
      <c r="C8" s="4" t="s">
        <v>120</v>
      </c>
      <c r="D8" s="4" t="s">
        <v>102</v>
      </c>
      <c r="E8" s="4" t="s">
        <v>121</v>
      </c>
      <c r="F8" s="4" t="s">
        <v>122</v>
      </c>
      <c r="G8" s="4" t="s">
        <v>123</v>
      </c>
      <c r="H8" s="4" t="s">
        <v>124</v>
      </c>
      <c r="I8" s="4" t="s">
        <v>125</v>
      </c>
      <c r="J8" s="4" t="s">
        <v>126</v>
      </c>
      <c r="K8" s="4" t="s">
        <v>109</v>
      </c>
      <c r="L8" s="4" t="s">
        <v>127</v>
      </c>
      <c r="M8" s="4"/>
    </row>
    <row r="9" spans="1:13" ht="72" customHeight="1">
      <c r="A9" s="10" t="s">
        <v>128</v>
      </c>
      <c r="B9" s="4" t="s">
        <v>100</v>
      </c>
      <c r="C9" s="4" t="s">
        <v>129</v>
      </c>
      <c r="D9" s="4" t="s">
        <v>102</v>
      </c>
      <c r="E9" s="4" t="s">
        <v>121</v>
      </c>
      <c r="F9" s="4" t="s">
        <v>130</v>
      </c>
      <c r="G9" s="4" t="s">
        <v>131</v>
      </c>
      <c r="H9" s="4" t="s">
        <v>132</v>
      </c>
      <c r="I9" s="4" t="s">
        <v>133</v>
      </c>
      <c r="J9" s="4" t="s">
        <v>134</v>
      </c>
      <c r="K9" s="4" t="s">
        <v>109</v>
      </c>
      <c r="L9" s="4"/>
      <c r="M9" s="4"/>
    </row>
    <row r="10" spans="1:13" ht="72" customHeight="1">
      <c r="A10" s="10" t="s">
        <v>135</v>
      </c>
      <c r="B10" s="4" t="s">
        <v>100</v>
      </c>
      <c r="C10" s="4" t="s">
        <v>136</v>
      </c>
      <c r="D10" s="4" t="s">
        <v>102</v>
      </c>
      <c r="E10" s="4" t="s">
        <v>137</v>
      </c>
      <c r="F10" s="4" t="s">
        <v>138</v>
      </c>
      <c r="G10" s="4" t="s">
        <v>105</v>
      </c>
      <c r="H10" s="4" t="s">
        <v>139</v>
      </c>
      <c r="I10" s="4" t="s">
        <v>140</v>
      </c>
      <c r="J10" s="4" t="s">
        <v>141</v>
      </c>
      <c r="K10" s="4" t="s">
        <v>109</v>
      </c>
      <c r="L10" s="4"/>
      <c r="M10" s="4"/>
    </row>
    <row r="11" spans="1:13" ht="72" customHeight="1">
      <c r="A11" s="10" t="s">
        <v>142</v>
      </c>
      <c r="B11" s="4" t="s">
        <v>143</v>
      </c>
      <c r="C11" s="4" t="s">
        <v>144</v>
      </c>
      <c r="D11" s="4" t="s">
        <v>102</v>
      </c>
      <c r="E11" s="4" t="s">
        <v>103</v>
      </c>
      <c r="F11" s="4" t="s">
        <v>145</v>
      </c>
      <c r="G11" s="4" t="s">
        <v>105</v>
      </c>
      <c r="H11" s="4" t="s">
        <v>146</v>
      </c>
      <c r="I11" s="4" t="s">
        <v>147</v>
      </c>
      <c r="J11" s="4" t="s">
        <v>148</v>
      </c>
      <c r="K11" s="4" t="s">
        <v>109</v>
      </c>
      <c r="L11" s="4"/>
      <c r="M11" s="4"/>
    </row>
    <row r="12" spans="1:13" ht="72" customHeight="1">
      <c r="A12" s="10" t="s">
        <v>149</v>
      </c>
      <c r="B12" s="4" t="s">
        <v>143</v>
      </c>
      <c r="C12" s="4" t="s">
        <v>150</v>
      </c>
      <c r="D12" s="4" t="s">
        <v>102</v>
      </c>
      <c r="E12" s="4" t="s">
        <v>121</v>
      </c>
      <c r="F12" s="4" t="s">
        <v>151</v>
      </c>
      <c r="G12" s="4" t="s">
        <v>152</v>
      </c>
      <c r="H12" s="4" t="s">
        <v>153</v>
      </c>
      <c r="I12" s="4" t="s">
        <v>154</v>
      </c>
      <c r="J12" s="4" t="s">
        <v>155</v>
      </c>
      <c r="K12" s="4" t="s">
        <v>109</v>
      </c>
      <c r="L12" s="4"/>
      <c r="M12" s="4"/>
    </row>
    <row r="13" spans="1:13" ht="72" customHeight="1">
      <c r="A13" s="10" t="s">
        <v>156</v>
      </c>
      <c r="B13" s="4" t="s">
        <v>143</v>
      </c>
      <c r="C13" s="4" t="s">
        <v>157</v>
      </c>
      <c r="D13" s="4" t="s">
        <v>102</v>
      </c>
      <c r="E13" s="4" t="s">
        <v>158</v>
      </c>
      <c r="F13" s="4" t="s">
        <v>151</v>
      </c>
      <c r="G13" s="4" t="s">
        <v>159</v>
      </c>
      <c r="H13" s="4" t="s">
        <v>160</v>
      </c>
      <c r="I13" s="4" t="s">
        <v>161</v>
      </c>
      <c r="J13" s="4" t="s">
        <v>162</v>
      </c>
      <c r="K13" s="4" t="s">
        <v>109</v>
      </c>
      <c r="L13" s="4"/>
      <c r="M13" s="4"/>
    </row>
    <row r="14" spans="1:13" ht="72" customHeight="1">
      <c r="A14" s="10" t="s">
        <v>163</v>
      </c>
      <c r="B14" s="4" t="s">
        <v>143</v>
      </c>
      <c r="C14" s="4" t="s">
        <v>164</v>
      </c>
      <c r="D14" s="4" t="s">
        <v>102</v>
      </c>
      <c r="E14" s="4" t="s">
        <v>158</v>
      </c>
      <c r="F14" s="4" t="s">
        <v>151</v>
      </c>
      <c r="G14" s="4" t="s">
        <v>165</v>
      </c>
      <c r="H14" s="4" t="s">
        <v>166</v>
      </c>
      <c r="I14" s="4" t="s">
        <v>167</v>
      </c>
      <c r="J14" s="4" t="s">
        <v>168</v>
      </c>
      <c r="K14" s="4" t="s">
        <v>169</v>
      </c>
      <c r="L14" s="4"/>
      <c r="M14" s="4"/>
    </row>
    <row r="15" spans="1:13" ht="72" customHeight="1">
      <c r="A15" s="10" t="s">
        <v>170</v>
      </c>
      <c r="B15" s="4" t="s">
        <v>143</v>
      </c>
      <c r="C15" s="4" t="s">
        <v>171</v>
      </c>
      <c r="D15" s="4" t="s">
        <v>172</v>
      </c>
      <c r="E15" s="4" t="s">
        <v>103</v>
      </c>
      <c r="F15" s="4" t="s">
        <v>173</v>
      </c>
      <c r="G15" s="4" t="s">
        <v>174</v>
      </c>
      <c r="H15" s="4" t="s">
        <v>175</v>
      </c>
      <c r="I15" s="4" t="s">
        <v>176</v>
      </c>
      <c r="J15" s="4" t="s">
        <v>177</v>
      </c>
      <c r="K15" s="4" t="s">
        <v>109</v>
      </c>
      <c r="L15" s="4"/>
      <c r="M15" s="4"/>
    </row>
    <row r="16" spans="1:13" ht="72" customHeight="1">
      <c r="A16" s="10" t="s">
        <v>178</v>
      </c>
      <c r="B16" s="4" t="s">
        <v>143</v>
      </c>
      <c r="C16" s="4" t="s">
        <v>179</v>
      </c>
      <c r="D16" s="4" t="s">
        <v>172</v>
      </c>
      <c r="E16" s="4" t="s">
        <v>121</v>
      </c>
      <c r="F16" s="4" t="s">
        <v>173</v>
      </c>
      <c r="G16" s="4" t="s">
        <v>180</v>
      </c>
      <c r="H16" s="4" t="s">
        <v>181</v>
      </c>
      <c r="I16" s="4" t="s">
        <v>182</v>
      </c>
      <c r="J16" s="4" t="s">
        <v>183</v>
      </c>
      <c r="K16" s="4" t="s">
        <v>109</v>
      </c>
      <c r="L16" s="4"/>
      <c r="M16" s="4"/>
    </row>
    <row r="17" spans="1:13" ht="72" customHeight="1">
      <c r="A17" s="10" t="s">
        <v>184</v>
      </c>
      <c r="B17" s="4" t="s">
        <v>143</v>
      </c>
      <c r="C17" s="4" t="s">
        <v>185</v>
      </c>
      <c r="D17" s="4" t="s">
        <v>102</v>
      </c>
      <c r="E17" s="4" t="s">
        <v>186</v>
      </c>
      <c r="F17" s="4" t="s">
        <v>187</v>
      </c>
      <c r="G17" s="4" t="s">
        <v>188</v>
      </c>
      <c r="H17" s="4" t="s">
        <v>189</v>
      </c>
      <c r="I17" s="4" t="s">
        <v>190</v>
      </c>
      <c r="J17" s="4" t="s">
        <v>191</v>
      </c>
      <c r="K17" s="4" t="s">
        <v>109</v>
      </c>
      <c r="L17" s="4"/>
      <c r="M17" s="4"/>
    </row>
    <row r="18" spans="1:13" ht="72" customHeight="1">
      <c r="A18" s="10" t="s">
        <v>192</v>
      </c>
      <c r="B18" s="4" t="s">
        <v>193</v>
      </c>
      <c r="C18" s="4" t="s">
        <v>194</v>
      </c>
      <c r="D18" s="4" t="s">
        <v>32</v>
      </c>
      <c r="E18" s="4" t="s">
        <v>195</v>
      </c>
      <c r="F18" s="4" t="s">
        <v>196</v>
      </c>
      <c r="G18" s="4" t="s">
        <v>197</v>
      </c>
      <c r="H18" s="4" t="s">
        <v>198</v>
      </c>
      <c r="I18" s="4" t="s">
        <v>199</v>
      </c>
      <c r="J18" s="4" t="s">
        <v>200</v>
      </c>
      <c r="K18" s="4" t="s">
        <v>109</v>
      </c>
      <c r="L18" s="4" t="s">
        <v>201</v>
      </c>
      <c r="M18" s="4"/>
    </row>
    <row r="19" spans="1:13" ht="72" customHeight="1">
      <c r="A19" s="10" t="s">
        <v>202</v>
      </c>
      <c r="B19" s="4" t="s">
        <v>193</v>
      </c>
      <c r="C19" s="4" t="s">
        <v>203</v>
      </c>
      <c r="D19" s="4" t="s">
        <v>36</v>
      </c>
      <c r="E19" s="4" t="s">
        <v>195</v>
      </c>
      <c r="F19" s="4" t="s">
        <v>204</v>
      </c>
      <c r="G19" s="4" t="s">
        <v>205</v>
      </c>
      <c r="H19" s="4" t="s">
        <v>206</v>
      </c>
      <c r="I19" s="4" t="s">
        <v>207</v>
      </c>
      <c r="J19" s="4" t="s">
        <v>200</v>
      </c>
      <c r="K19" s="4" t="s">
        <v>109</v>
      </c>
      <c r="L19" s="4"/>
      <c r="M19" s="4"/>
    </row>
    <row r="20" spans="1:13" ht="72" customHeight="1">
      <c r="A20" s="10" t="s">
        <v>208</v>
      </c>
      <c r="B20" s="4" t="s">
        <v>193</v>
      </c>
      <c r="C20" s="4" t="s">
        <v>209</v>
      </c>
      <c r="D20" s="4" t="s">
        <v>40</v>
      </c>
      <c r="E20" s="4" t="s">
        <v>195</v>
      </c>
      <c r="F20" s="4" t="s">
        <v>210</v>
      </c>
      <c r="G20" s="4" t="s">
        <v>211</v>
      </c>
      <c r="H20" s="4" t="s">
        <v>206</v>
      </c>
      <c r="I20" s="4" t="s">
        <v>212</v>
      </c>
      <c r="J20" s="4" t="s">
        <v>200</v>
      </c>
      <c r="K20" s="4" t="s">
        <v>109</v>
      </c>
      <c r="L20" s="4"/>
      <c r="M20" s="4"/>
    </row>
    <row r="21" spans="1:13" ht="72" customHeight="1">
      <c r="A21" s="10" t="s">
        <v>213</v>
      </c>
      <c r="B21" s="4" t="s">
        <v>193</v>
      </c>
      <c r="C21" s="4" t="s">
        <v>214</v>
      </c>
      <c r="D21" s="4" t="s">
        <v>172</v>
      </c>
      <c r="E21" s="4" t="s">
        <v>121</v>
      </c>
      <c r="F21" s="4" t="s">
        <v>215</v>
      </c>
      <c r="G21" s="4" t="s">
        <v>216</v>
      </c>
      <c r="H21" s="4" t="s">
        <v>217</v>
      </c>
      <c r="I21" s="4" t="s">
        <v>218</v>
      </c>
      <c r="J21" s="4" t="s">
        <v>219</v>
      </c>
      <c r="K21" s="4" t="s">
        <v>109</v>
      </c>
      <c r="L21" s="4"/>
      <c r="M21" s="4"/>
    </row>
    <row r="22" spans="1:13" ht="72" customHeight="1">
      <c r="A22" s="10" t="s">
        <v>220</v>
      </c>
      <c r="B22" s="4" t="s">
        <v>221</v>
      </c>
      <c r="C22" s="4" t="s">
        <v>222</v>
      </c>
      <c r="D22" s="4" t="s">
        <v>32</v>
      </c>
      <c r="E22" s="4" t="s">
        <v>103</v>
      </c>
      <c r="F22" s="4" t="s">
        <v>223</v>
      </c>
      <c r="G22" s="4" t="s">
        <v>224</v>
      </c>
      <c r="H22" s="4" t="s">
        <v>225</v>
      </c>
      <c r="I22" s="4" t="s">
        <v>226</v>
      </c>
      <c r="J22" s="4" t="s">
        <v>227</v>
      </c>
      <c r="K22" s="4" t="s">
        <v>109</v>
      </c>
      <c r="L22" s="4"/>
      <c r="M22" s="4"/>
    </row>
    <row r="23" spans="1:13" ht="72" customHeight="1">
      <c r="A23" s="10" t="s">
        <v>228</v>
      </c>
      <c r="B23" s="4" t="s">
        <v>221</v>
      </c>
      <c r="C23" s="4" t="s">
        <v>229</v>
      </c>
      <c r="D23" s="4" t="s">
        <v>32</v>
      </c>
      <c r="E23" s="4" t="s">
        <v>103</v>
      </c>
      <c r="F23" s="4" t="s">
        <v>223</v>
      </c>
      <c r="G23" s="4" t="s">
        <v>230</v>
      </c>
      <c r="H23" s="4" t="s">
        <v>231</v>
      </c>
      <c r="I23" s="4" t="s">
        <v>232</v>
      </c>
      <c r="J23" s="4" t="s">
        <v>233</v>
      </c>
      <c r="K23" s="4" t="s">
        <v>169</v>
      </c>
      <c r="L23" s="4" t="s">
        <v>234</v>
      </c>
      <c r="M23" s="4"/>
    </row>
    <row r="24" spans="1:13" ht="72" customHeight="1">
      <c r="A24" s="10" t="s">
        <v>235</v>
      </c>
      <c r="B24" s="4" t="s">
        <v>221</v>
      </c>
      <c r="C24" s="4" t="s">
        <v>236</v>
      </c>
      <c r="D24" s="4" t="s">
        <v>32</v>
      </c>
      <c r="E24" s="4" t="s">
        <v>103</v>
      </c>
      <c r="F24" s="4" t="s">
        <v>223</v>
      </c>
      <c r="G24" s="4" t="s">
        <v>237</v>
      </c>
      <c r="H24" s="4" t="s">
        <v>238</v>
      </c>
      <c r="I24" s="4" t="s">
        <v>239</v>
      </c>
      <c r="J24" s="4" t="s">
        <v>240</v>
      </c>
      <c r="K24" s="4" t="s">
        <v>109</v>
      </c>
      <c r="L24" s="4"/>
      <c r="M24" s="4"/>
    </row>
    <row r="25" spans="1:13" ht="72" customHeight="1">
      <c r="A25" s="10" t="s">
        <v>241</v>
      </c>
      <c r="B25" s="4" t="s">
        <v>221</v>
      </c>
      <c r="C25" s="4" t="s">
        <v>242</v>
      </c>
      <c r="D25" s="4" t="s">
        <v>32</v>
      </c>
      <c r="E25" s="4" t="s">
        <v>186</v>
      </c>
      <c r="F25" s="4" t="s">
        <v>243</v>
      </c>
      <c r="G25" s="4" t="s">
        <v>244</v>
      </c>
      <c r="H25" s="4" t="s">
        <v>245</v>
      </c>
      <c r="I25" s="4" t="s">
        <v>246</v>
      </c>
      <c r="J25" s="4" t="s">
        <v>247</v>
      </c>
      <c r="K25" s="4" t="s">
        <v>169</v>
      </c>
      <c r="L25" s="4"/>
      <c r="M25" s="4"/>
    </row>
    <row r="26" spans="1:13" ht="72" customHeight="1">
      <c r="A26" s="10" t="s">
        <v>248</v>
      </c>
      <c r="B26" s="4" t="s">
        <v>221</v>
      </c>
      <c r="C26" s="4" t="s">
        <v>249</v>
      </c>
      <c r="D26" s="4" t="s">
        <v>32</v>
      </c>
      <c r="E26" s="4" t="s">
        <v>250</v>
      </c>
      <c r="F26" s="4" t="s">
        <v>251</v>
      </c>
      <c r="G26" s="4" t="s">
        <v>105</v>
      </c>
      <c r="H26" s="4" t="s">
        <v>252</v>
      </c>
      <c r="I26" s="4" t="s">
        <v>253</v>
      </c>
      <c r="J26" s="4" t="s">
        <v>254</v>
      </c>
      <c r="K26" s="4" t="s">
        <v>109</v>
      </c>
      <c r="L26" s="4"/>
      <c r="M26" s="4"/>
    </row>
    <row r="27" spans="1:13" ht="72" customHeight="1">
      <c r="A27" s="10" t="s">
        <v>255</v>
      </c>
      <c r="B27" s="4" t="s">
        <v>221</v>
      </c>
      <c r="C27" s="4" t="s">
        <v>256</v>
      </c>
      <c r="D27" s="4" t="s">
        <v>32</v>
      </c>
      <c r="E27" s="4" t="s">
        <v>158</v>
      </c>
      <c r="F27" s="4" t="s">
        <v>223</v>
      </c>
      <c r="G27" s="4" t="s">
        <v>257</v>
      </c>
      <c r="H27" s="4" t="s">
        <v>258</v>
      </c>
      <c r="I27" s="4" t="s">
        <v>259</v>
      </c>
      <c r="J27" s="4" t="s">
        <v>260</v>
      </c>
      <c r="K27" s="4" t="s">
        <v>109</v>
      </c>
      <c r="L27" s="4"/>
      <c r="M27" s="4"/>
    </row>
    <row r="28" spans="1:13" ht="72" customHeight="1">
      <c r="A28" s="10" t="s">
        <v>261</v>
      </c>
      <c r="B28" s="4" t="s">
        <v>221</v>
      </c>
      <c r="C28" s="4" t="s">
        <v>262</v>
      </c>
      <c r="D28" s="4" t="s">
        <v>36</v>
      </c>
      <c r="E28" s="4" t="s">
        <v>103</v>
      </c>
      <c r="F28" s="4" t="s">
        <v>263</v>
      </c>
      <c r="G28" s="4" t="s">
        <v>264</v>
      </c>
      <c r="H28" s="4" t="s">
        <v>258</v>
      </c>
      <c r="I28" s="4" t="s">
        <v>265</v>
      </c>
      <c r="J28" s="4" t="s">
        <v>227</v>
      </c>
      <c r="K28" s="4" t="s">
        <v>109</v>
      </c>
      <c r="L28" s="4"/>
      <c r="M28" s="4"/>
    </row>
    <row r="29" spans="1:13" ht="72" customHeight="1">
      <c r="A29" s="10" t="s">
        <v>266</v>
      </c>
      <c r="B29" s="4" t="s">
        <v>221</v>
      </c>
      <c r="C29" s="4" t="s">
        <v>267</v>
      </c>
      <c r="D29" s="4" t="s">
        <v>36</v>
      </c>
      <c r="E29" s="4" t="s">
        <v>158</v>
      </c>
      <c r="F29" s="4" t="s">
        <v>263</v>
      </c>
      <c r="G29" s="4" t="s">
        <v>268</v>
      </c>
      <c r="H29" s="4" t="s">
        <v>258</v>
      </c>
      <c r="I29" s="4" t="s">
        <v>269</v>
      </c>
      <c r="J29" s="4" t="s">
        <v>270</v>
      </c>
      <c r="K29" s="4" t="s">
        <v>169</v>
      </c>
      <c r="L29" s="4"/>
      <c r="M29" s="4"/>
    </row>
    <row r="30" spans="1:13" ht="72" customHeight="1">
      <c r="A30" s="10" t="s">
        <v>271</v>
      </c>
      <c r="B30" s="4" t="s">
        <v>221</v>
      </c>
      <c r="C30" s="4" t="s">
        <v>272</v>
      </c>
      <c r="D30" s="4" t="s">
        <v>36</v>
      </c>
      <c r="E30" s="4" t="s">
        <v>158</v>
      </c>
      <c r="F30" s="4" t="s">
        <v>263</v>
      </c>
      <c r="G30" s="4" t="s">
        <v>273</v>
      </c>
      <c r="H30" s="4" t="s">
        <v>258</v>
      </c>
      <c r="I30" s="4" t="s">
        <v>274</v>
      </c>
      <c r="J30" s="4" t="s">
        <v>270</v>
      </c>
      <c r="K30" s="4" t="s">
        <v>109</v>
      </c>
      <c r="L30" s="4"/>
      <c r="M30" s="4"/>
    </row>
    <row r="31" spans="1:13" ht="72" customHeight="1">
      <c r="A31" s="10" t="s">
        <v>275</v>
      </c>
      <c r="B31" s="4" t="s">
        <v>221</v>
      </c>
      <c r="C31" s="4" t="s">
        <v>276</v>
      </c>
      <c r="D31" s="4" t="s">
        <v>36</v>
      </c>
      <c r="E31" s="4" t="s">
        <v>121</v>
      </c>
      <c r="F31" s="4" t="s">
        <v>277</v>
      </c>
      <c r="G31" s="4" t="s">
        <v>278</v>
      </c>
      <c r="H31" s="4" t="s">
        <v>279</v>
      </c>
      <c r="I31" s="4" t="s">
        <v>280</v>
      </c>
      <c r="J31" s="4" t="s">
        <v>281</v>
      </c>
      <c r="K31" s="4" t="s">
        <v>169</v>
      </c>
      <c r="L31" s="4"/>
      <c r="M31" s="4"/>
    </row>
    <row r="32" spans="1:13" ht="72" customHeight="1">
      <c r="A32" s="10" t="s">
        <v>282</v>
      </c>
      <c r="B32" s="4" t="s">
        <v>221</v>
      </c>
      <c r="C32" s="4" t="s">
        <v>283</v>
      </c>
      <c r="D32" s="4" t="s">
        <v>36</v>
      </c>
      <c r="E32" s="4" t="s">
        <v>121</v>
      </c>
      <c r="F32" s="4" t="s">
        <v>277</v>
      </c>
      <c r="G32" s="4" t="s">
        <v>284</v>
      </c>
      <c r="H32" s="4" t="s">
        <v>279</v>
      </c>
      <c r="I32" s="4" t="s">
        <v>285</v>
      </c>
      <c r="J32" s="4" t="s">
        <v>281</v>
      </c>
      <c r="K32" s="4" t="s">
        <v>109</v>
      </c>
      <c r="L32" s="4"/>
      <c r="M32" s="4"/>
    </row>
    <row r="33" spans="1:13" ht="72" customHeight="1">
      <c r="A33" s="10" t="s">
        <v>286</v>
      </c>
      <c r="B33" s="4" t="s">
        <v>221</v>
      </c>
      <c r="C33" s="4" t="s">
        <v>287</v>
      </c>
      <c r="D33" s="4" t="s">
        <v>36</v>
      </c>
      <c r="E33" s="4" t="s">
        <v>186</v>
      </c>
      <c r="F33" s="4" t="s">
        <v>288</v>
      </c>
      <c r="G33" s="4" t="s">
        <v>289</v>
      </c>
      <c r="H33" s="4" t="s">
        <v>290</v>
      </c>
      <c r="I33" s="4" t="s">
        <v>291</v>
      </c>
      <c r="J33" s="4" t="s">
        <v>247</v>
      </c>
      <c r="K33" s="4" t="s">
        <v>169</v>
      </c>
      <c r="L33" s="4"/>
      <c r="M33" s="4"/>
    </row>
    <row r="34" spans="1:13" ht="72" customHeight="1">
      <c r="A34" s="10" t="s">
        <v>292</v>
      </c>
      <c r="B34" s="4" t="s">
        <v>221</v>
      </c>
      <c r="C34" s="4" t="s">
        <v>293</v>
      </c>
      <c r="D34" s="4" t="s">
        <v>36</v>
      </c>
      <c r="E34" s="4" t="s">
        <v>250</v>
      </c>
      <c r="F34" s="4" t="s">
        <v>294</v>
      </c>
      <c r="G34" s="4" t="s">
        <v>105</v>
      </c>
      <c r="H34" s="4" t="s">
        <v>295</v>
      </c>
      <c r="I34" s="4" t="s">
        <v>296</v>
      </c>
      <c r="J34" s="4" t="s">
        <v>254</v>
      </c>
      <c r="K34" s="4" t="s">
        <v>109</v>
      </c>
      <c r="L34" s="4"/>
      <c r="M34" s="4"/>
    </row>
    <row r="35" spans="1:13" ht="72" customHeight="1">
      <c r="A35" s="10" t="s">
        <v>297</v>
      </c>
      <c r="B35" s="4" t="s">
        <v>221</v>
      </c>
      <c r="C35" s="4" t="s">
        <v>298</v>
      </c>
      <c r="D35" s="4" t="s">
        <v>40</v>
      </c>
      <c r="E35" s="4" t="s">
        <v>103</v>
      </c>
      <c r="F35" s="4" t="s">
        <v>299</v>
      </c>
      <c r="G35" s="4" t="s">
        <v>300</v>
      </c>
      <c r="H35" s="4" t="s">
        <v>258</v>
      </c>
      <c r="I35" s="4" t="s">
        <v>301</v>
      </c>
      <c r="J35" s="4" t="s">
        <v>227</v>
      </c>
      <c r="K35" s="4" t="s">
        <v>109</v>
      </c>
      <c r="L35" s="4"/>
      <c r="M35" s="4"/>
    </row>
    <row r="36" spans="1:13" ht="72" customHeight="1">
      <c r="A36" s="10" t="s">
        <v>302</v>
      </c>
      <c r="B36" s="4" t="s">
        <v>221</v>
      </c>
      <c r="C36" s="4" t="s">
        <v>303</v>
      </c>
      <c r="D36" s="4" t="s">
        <v>40</v>
      </c>
      <c r="E36" s="4" t="s">
        <v>158</v>
      </c>
      <c r="F36" s="4" t="s">
        <v>299</v>
      </c>
      <c r="G36" s="4" t="s">
        <v>304</v>
      </c>
      <c r="H36" s="4" t="s">
        <v>258</v>
      </c>
      <c r="I36" s="4" t="s">
        <v>305</v>
      </c>
      <c r="J36" s="4" t="s">
        <v>306</v>
      </c>
      <c r="K36" s="4" t="s">
        <v>169</v>
      </c>
      <c r="L36" s="4"/>
      <c r="M36" s="4"/>
    </row>
    <row r="37" spans="1:13" ht="72" customHeight="1">
      <c r="A37" s="10" t="s">
        <v>307</v>
      </c>
      <c r="B37" s="4" t="s">
        <v>221</v>
      </c>
      <c r="C37" s="4" t="s">
        <v>308</v>
      </c>
      <c r="D37" s="4" t="s">
        <v>40</v>
      </c>
      <c r="E37" s="4" t="s">
        <v>158</v>
      </c>
      <c r="F37" s="4" t="s">
        <v>299</v>
      </c>
      <c r="G37" s="4" t="s">
        <v>309</v>
      </c>
      <c r="H37" s="4" t="s">
        <v>258</v>
      </c>
      <c r="I37" s="4" t="s">
        <v>310</v>
      </c>
      <c r="J37" s="4" t="s">
        <v>306</v>
      </c>
      <c r="K37" s="4" t="s">
        <v>109</v>
      </c>
      <c r="L37" s="4"/>
      <c r="M37" s="4"/>
    </row>
    <row r="38" spans="1:13" ht="72" customHeight="1">
      <c r="A38" s="10" t="s">
        <v>311</v>
      </c>
      <c r="B38" s="4" t="s">
        <v>221</v>
      </c>
      <c r="C38" s="4" t="s">
        <v>312</v>
      </c>
      <c r="D38" s="4" t="s">
        <v>40</v>
      </c>
      <c r="E38" s="4" t="s">
        <v>121</v>
      </c>
      <c r="F38" s="4" t="s">
        <v>313</v>
      </c>
      <c r="G38" s="4" t="s">
        <v>314</v>
      </c>
      <c r="H38" s="4" t="s">
        <v>279</v>
      </c>
      <c r="I38" s="4" t="s">
        <v>315</v>
      </c>
      <c r="J38" s="4" t="s">
        <v>316</v>
      </c>
      <c r="K38" s="4" t="s">
        <v>109</v>
      </c>
      <c r="L38" s="4"/>
      <c r="M38" s="4"/>
    </row>
    <row r="39" spans="1:13" ht="72" customHeight="1">
      <c r="A39" s="10" t="s">
        <v>317</v>
      </c>
      <c r="B39" s="4" t="s">
        <v>221</v>
      </c>
      <c r="C39" s="4" t="s">
        <v>318</v>
      </c>
      <c r="D39" s="4" t="s">
        <v>40</v>
      </c>
      <c r="E39" s="4" t="s">
        <v>103</v>
      </c>
      <c r="F39" s="4" t="s">
        <v>299</v>
      </c>
      <c r="G39" s="4" t="s">
        <v>319</v>
      </c>
      <c r="H39" s="4" t="s">
        <v>320</v>
      </c>
      <c r="I39" s="4" t="s">
        <v>321</v>
      </c>
      <c r="J39" s="4" t="s">
        <v>233</v>
      </c>
      <c r="K39" s="4" t="s">
        <v>169</v>
      </c>
      <c r="L39" s="4"/>
      <c r="M39" s="4"/>
    </row>
    <row r="40" spans="1:13" ht="72" customHeight="1">
      <c r="A40" s="10" t="s">
        <v>322</v>
      </c>
      <c r="B40" s="4" t="s">
        <v>221</v>
      </c>
      <c r="C40" s="4" t="s">
        <v>323</v>
      </c>
      <c r="D40" s="4" t="s">
        <v>40</v>
      </c>
      <c r="E40" s="4" t="s">
        <v>103</v>
      </c>
      <c r="F40" s="4" t="s">
        <v>299</v>
      </c>
      <c r="G40" s="4" t="s">
        <v>324</v>
      </c>
      <c r="H40" s="4" t="s">
        <v>320</v>
      </c>
      <c r="I40" s="4" t="s">
        <v>325</v>
      </c>
      <c r="J40" s="4" t="s">
        <v>240</v>
      </c>
      <c r="K40" s="4" t="s">
        <v>109</v>
      </c>
      <c r="L40" s="4"/>
      <c r="M40" s="4"/>
    </row>
    <row r="41" spans="1:13" ht="72" customHeight="1">
      <c r="A41" s="10" t="s">
        <v>326</v>
      </c>
      <c r="B41" s="4" t="s">
        <v>221</v>
      </c>
      <c r="C41" s="4" t="s">
        <v>327</v>
      </c>
      <c r="D41" s="4" t="s">
        <v>40</v>
      </c>
      <c r="E41" s="4" t="s">
        <v>186</v>
      </c>
      <c r="F41" s="4" t="s">
        <v>328</v>
      </c>
      <c r="G41" s="4" t="s">
        <v>244</v>
      </c>
      <c r="H41" s="4" t="s">
        <v>290</v>
      </c>
      <c r="I41" s="4" t="s">
        <v>329</v>
      </c>
      <c r="J41" s="4" t="s">
        <v>247</v>
      </c>
      <c r="K41" s="4" t="s">
        <v>169</v>
      </c>
      <c r="L41" s="4"/>
      <c r="M41" s="4"/>
    </row>
    <row r="42" spans="1:13" ht="72" customHeight="1">
      <c r="A42" s="10" t="s">
        <v>330</v>
      </c>
      <c r="B42" s="4" t="s">
        <v>331</v>
      </c>
      <c r="C42" s="4" t="s">
        <v>332</v>
      </c>
      <c r="D42" s="4" t="s">
        <v>102</v>
      </c>
      <c r="E42" s="4" t="s">
        <v>158</v>
      </c>
      <c r="F42" s="4" t="s">
        <v>333</v>
      </c>
      <c r="G42" s="4" t="s">
        <v>334</v>
      </c>
      <c r="H42" s="4" t="s">
        <v>335</v>
      </c>
      <c r="I42" s="4" t="s">
        <v>336</v>
      </c>
      <c r="J42" s="4" t="s">
        <v>337</v>
      </c>
      <c r="K42" s="4" t="s">
        <v>109</v>
      </c>
      <c r="L42" s="4"/>
      <c r="M42" s="4"/>
    </row>
    <row r="43" spans="1:13" ht="72" customHeight="1">
      <c r="A43" s="10" t="s">
        <v>338</v>
      </c>
      <c r="B43" s="4" t="s">
        <v>331</v>
      </c>
      <c r="C43" s="4" t="s">
        <v>339</v>
      </c>
      <c r="D43" s="4" t="s">
        <v>102</v>
      </c>
      <c r="E43" s="4" t="s">
        <v>158</v>
      </c>
      <c r="F43" s="4" t="s">
        <v>333</v>
      </c>
      <c r="G43" s="4" t="s">
        <v>340</v>
      </c>
      <c r="H43" s="4" t="s">
        <v>335</v>
      </c>
      <c r="I43" s="4" t="s">
        <v>341</v>
      </c>
      <c r="J43" s="4" t="s">
        <v>342</v>
      </c>
      <c r="K43" s="4" t="s">
        <v>109</v>
      </c>
      <c r="L43" s="4"/>
      <c r="M43" s="4"/>
    </row>
    <row r="44" spans="1:13" ht="72" customHeight="1">
      <c r="A44" s="10" t="s">
        <v>343</v>
      </c>
      <c r="B44" s="4" t="s">
        <v>331</v>
      </c>
      <c r="C44" s="4" t="s">
        <v>344</v>
      </c>
      <c r="D44" s="4" t="s">
        <v>102</v>
      </c>
      <c r="E44" s="4" t="s">
        <v>103</v>
      </c>
      <c r="F44" s="4" t="s">
        <v>333</v>
      </c>
      <c r="G44" s="4" t="s">
        <v>345</v>
      </c>
      <c r="H44" s="4" t="s">
        <v>335</v>
      </c>
      <c r="I44" s="4" t="s">
        <v>346</v>
      </c>
      <c r="J44" s="4" t="s">
        <v>347</v>
      </c>
      <c r="K44" s="4" t="s">
        <v>169</v>
      </c>
      <c r="L44" s="4"/>
      <c r="M44" s="4"/>
    </row>
    <row r="45" spans="1:13" ht="72" customHeight="1">
      <c r="A45" s="10" t="s">
        <v>348</v>
      </c>
      <c r="B45" s="4" t="s">
        <v>331</v>
      </c>
      <c r="C45" s="4" t="s">
        <v>349</v>
      </c>
      <c r="D45" s="4" t="s">
        <v>102</v>
      </c>
      <c r="E45" s="4" t="s">
        <v>158</v>
      </c>
      <c r="F45" s="4" t="s">
        <v>350</v>
      </c>
      <c r="G45" s="4" t="s">
        <v>351</v>
      </c>
      <c r="H45" s="4" t="s">
        <v>335</v>
      </c>
      <c r="I45" s="4" t="s">
        <v>352</v>
      </c>
      <c r="J45" s="4" t="s">
        <v>353</v>
      </c>
      <c r="K45" s="4" t="s">
        <v>109</v>
      </c>
      <c r="L45" s="4" t="s">
        <v>354</v>
      </c>
      <c r="M45" s="4"/>
    </row>
    <row r="46" spans="1:13" ht="72" customHeight="1">
      <c r="A46" s="10" t="s">
        <v>355</v>
      </c>
      <c r="B46" s="4" t="s">
        <v>331</v>
      </c>
      <c r="C46" s="4" t="s">
        <v>356</v>
      </c>
      <c r="D46" s="4" t="s">
        <v>102</v>
      </c>
      <c r="E46" s="4" t="s">
        <v>103</v>
      </c>
      <c r="F46" s="4" t="s">
        <v>350</v>
      </c>
      <c r="G46" s="4" t="s">
        <v>357</v>
      </c>
      <c r="H46" s="4" t="s">
        <v>335</v>
      </c>
      <c r="I46" s="4" t="s">
        <v>358</v>
      </c>
      <c r="J46" s="4" t="s">
        <v>347</v>
      </c>
      <c r="K46" s="4" t="s">
        <v>169</v>
      </c>
      <c r="L46" s="4"/>
      <c r="M46" s="4"/>
    </row>
    <row r="47" spans="1:13" ht="72" customHeight="1">
      <c r="A47" s="10" t="s">
        <v>359</v>
      </c>
      <c r="B47" s="4" t="s">
        <v>331</v>
      </c>
      <c r="C47" s="4" t="s">
        <v>360</v>
      </c>
      <c r="D47" s="4" t="s">
        <v>102</v>
      </c>
      <c r="E47" s="4" t="s">
        <v>158</v>
      </c>
      <c r="F47" s="4" t="s">
        <v>151</v>
      </c>
      <c r="G47" s="4" t="s">
        <v>361</v>
      </c>
      <c r="H47" s="4" t="s">
        <v>335</v>
      </c>
      <c r="I47" s="4" t="s">
        <v>362</v>
      </c>
      <c r="J47" s="4" t="s">
        <v>363</v>
      </c>
      <c r="K47" s="4" t="s">
        <v>109</v>
      </c>
      <c r="L47" s="4"/>
      <c r="M47" s="4"/>
    </row>
    <row r="48" spans="1:13" ht="72" customHeight="1">
      <c r="A48" s="10" t="s">
        <v>364</v>
      </c>
      <c r="B48" s="4" t="s">
        <v>331</v>
      </c>
      <c r="C48" s="4" t="s">
        <v>365</v>
      </c>
      <c r="D48" s="4" t="s">
        <v>102</v>
      </c>
      <c r="E48" s="4" t="s">
        <v>158</v>
      </c>
      <c r="F48" s="4" t="s">
        <v>151</v>
      </c>
      <c r="G48" s="4" t="s">
        <v>366</v>
      </c>
      <c r="H48" s="4" t="s">
        <v>335</v>
      </c>
      <c r="I48" s="4" t="s">
        <v>367</v>
      </c>
      <c r="J48" s="4" t="s">
        <v>363</v>
      </c>
      <c r="K48" s="4" t="s">
        <v>109</v>
      </c>
      <c r="L48" s="4"/>
      <c r="M48" s="4"/>
    </row>
    <row r="49" spans="1:13" ht="72" customHeight="1">
      <c r="A49" s="10" t="s">
        <v>368</v>
      </c>
      <c r="B49" s="4" t="s">
        <v>331</v>
      </c>
      <c r="C49" s="4" t="s">
        <v>369</v>
      </c>
      <c r="D49" s="4" t="s">
        <v>102</v>
      </c>
      <c r="E49" s="4" t="s">
        <v>195</v>
      </c>
      <c r="F49" s="4" t="s">
        <v>151</v>
      </c>
      <c r="G49" s="4" t="s">
        <v>370</v>
      </c>
      <c r="H49" s="4" t="s">
        <v>335</v>
      </c>
      <c r="I49" s="4" t="s">
        <v>371</v>
      </c>
      <c r="J49" s="4" t="s">
        <v>372</v>
      </c>
      <c r="K49" s="4" t="s">
        <v>109</v>
      </c>
      <c r="L49" s="4"/>
      <c r="M49" s="4"/>
    </row>
    <row r="50" spans="1:13" ht="72" customHeight="1">
      <c r="A50" s="10" t="s">
        <v>373</v>
      </c>
      <c r="B50" s="4" t="s">
        <v>331</v>
      </c>
      <c r="C50" s="4" t="s">
        <v>374</v>
      </c>
      <c r="D50" s="4" t="s">
        <v>102</v>
      </c>
      <c r="E50" s="4" t="s">
        <v>186</v>
      </c>
      <c r="F50" s="4" t="s">
        <v>375</v>
      </c>
      <c r="G50" s="4" t="s">
        <v>376</v>
      </c>
      <c r="H50" s="4" t="s">
        <v>377</v>
      </c>
      <c r="I50" s="4" t="s">
        <v>378</v>
      </c>
      <c r="J50" s="4" t="s">
        <v>379</v>
      </c>
      <c r="K50" s="4" t="s">
        <v>109</v>
      </c>
      <c r="L50" s="4"/>
      <c r="M50" s="4"/>
    </row>
    <row r="51" spans="1:13" ht="72" customHeight="1">
      <c r="A51" s="10" t="s">
        <v>380</v>
      </c>
      <c r="B51" s="4" t="s">
        <v>381</v>
      </c>
      <c r="C51" s="4" t="s">
        <v>382</v>
      </c>
      <c r="D51" s="4" t="s">
        <v>102</v>
      </c>
      <c r="E51" s="4" t="s">
        <v>103</v>
      </c>
      <c r="F51" s="4" t="s">
        <v>383</v>
      </c>
      <c r="G51" s="4" t="s">
        <v>384</v>
      </c>
      <c r="H51" s="4" t="s">
        <v>385</v>
      </c>
      <c r="I51" s="4" t="s">
        <v>386</v>
      </c>
      <c r="J51" s="4" t="s">
        <v>387</v>
      </c>
      <c r="K51" s="4" t="s">
        <v>109</v>
      </c>
      <c r="L51" s="4" t="s">
        <v>388</v>
      </c>
      <c r="M51" s="4"/>
    </row>
    <row r="52" spans="1:13" ht="72" customHeight="1">
      <c r="A52" s="10" t="s">
        <v>389</v>
      </c>
      <c r="B52" s="4" t="s">
        <v>381</v>
      </c>
      <c r="C52" s="4" t="s">
        <v>390</v>
      </c>
      <c r="D52" s="4" t="s">
        <v>102</v>
      </c>
      <c r="E52" s="4" t="s">
        <v>121</v>
      </c>
      <c r="F52" s="4" t="s">
        <v>383</v>
      </c>
      <c r="G52" s="4" t="s">
        <v>391</v>
      </c>
      <c r="H52" s="4" t="s">
        <v>392</v>
      </c>
      <c r="I52" s="4" t="s">
        <v>393</v>
      </c>
      <c r="J52" s="4" t="s">
        <v>394</v>
      </c>
      <c r="K52" s="4" t="s">
        <v>109</v>
      </c>
      <c r="L52" s="4"/>
      <c r="M52" s="4"/>
    </row>
    <row r="53" spans="1:13" ht="72" customHeight="1">
      <c r="A53" s="10" t="s">
        <v>395</v>
      </c>
      <c r="B53" s="4" t="s">
        <v>381</v>
      </c>
      <c r="C53" s="4" t="s">
        <v>396</v>
      </c>
      <c r="D53" s="4" t="s">
        <v>102</v>
      </c>
      <c r="E53" s="4" t="s">
        <v>186</v>
      </c>
      <c r="F53" s="4" t="s">
        <v>397</v>
      </c>
      <c r="G53" s="4" t="s">
        <v>398</v>
      </c>
      <c r="H53" s="4" t="s">
        <v>399</v>
      </c>
      <c r="I53" s="4" t="s">
        <v>400</v>
      </c>
      <c r="J53" s="4" t="s">
        <v>401</v>
      </c>
      <c r="K53" s="4" t="s">
        <v>169</v>
      </c>
      <c r="L53" s="4"/>
      <c r="M53" s="4"/>
    </row>
    <row r="54" spans="1:13" ht="72" customHeight="1">
      <c r="A54" s="10" t="s">
        <v>402</v>
      </c>
      <c r="B54" s="4" t="s">
        <v>381</v>
      </c>
      <c r="C54" s="4" t="s">
        <v>403</v>
      </c>
      <c r="D54" s="4" t="s">
        <v>102</v>
      </c>
      <c r="E54" s="4" t="s">
        <v>195</v>
      </c>
      <c r="F54" s="4" t="s">
        <v>404</v>
      </c>
      <c r="G54" s="4" t="s">
        <v>405</v>
      </c>
      <c r="H54" s="4" t="s">
        <v>406</v>
      </c>
      <c r="I54" s="4" t="s">
        <v>407</v>
      </c>
      <c r="J54" s="4" t="s">
        <v>408</v>
      </c>
      <c r="K54" s="4" t="s">
        <v>109</v>
      </c>
      <c r="L54" s="4" t="s">
        <v>409</v>
      </c>
      <c r="M54" s="4"/>
    </row>
    <row r="55" spans="1:13" ht="72" customHeight="1">
      <c r="A55" s="10" t="s">
        <v>410</v>
      </c>
      <c r="B55" s="4" t="s">
        <v>381</v>
      </c>
      <c r="C55" s="4" t="s">
        <v>411</v>
      </c>
      <c r="D55" s="4" t="s">
        <v>102</v>
      </c>
      <c r="E55" s="4" t="s">
        <v>412</v>
      </c>
      <c r="F55" s="4" t="s">
        <v>413</v>
      </c>
      <c r="G55" s="4" t="s">
        <v>414</v>
      </c>
      <c r="H55" s="4" t="s">
        <v>415</v>
      </c>
      <c r="I55" s="4" t="s">
        <v>416</v>
      </c>
      <c r="J55" s="4" t="s">
        <v>417</v>
      </c>
      <c r="K55" s="4" t="s">
        <v>109</v>
      </c>
      <c r="L55" s="4" t="s">
        <v>418</v>
      </c>
      <c r="M55" s="4"/>
    </row>
    <row r="56" spans="1:13" ht="72" customHeight="1">
      <c r="A56" s="10" t="s">
        <v>419</v>
      </c>
      <c r="B56" s="4" t="s">
        <v>381</v>
      </c>
      <c r="C56" s="4" t="s">
        <v>420</v>
      </c>
      <c r="D56" s="4" t="s">
        <v>102</v>
      </c>
      <c r="E56" s="4" t="s">
        <v>412</v>
      </c>
      <c r="F56" s="4" t="s">
        <v>421</v>
      </c>
      <c r="G56" s="4" t="s">
        <v>422</v>
      </c>
      <c r="H56" s="4" t="s">
        <v>423</v>
      </c>
      <c r="I56" s="4" t="s">
        <v>424</v>
      </c>
      <c r="J56" s="4" t="s">
        <v>425</v>
      </c>
      <c r="K56" s="4" t="s">
        <v>109</v>
      </c>
      <c r="L56" s="4"/>
      <c r="M56" s="4"/>
    </row>
    <row r="57" spans="1:13" ht="72" customHeight="1">
      <c r="A57" s="10" t="s">
        <v>426</v>
      </c>
      <c r="B57" s="4" t="s">
        <v>381</v>
      </c>
      <c r="C57" s="4" t="s">
        <v>427</v>
      </c>
      <c r="D57" s="4" t="s">
        <v>102</v>
      </c>
      <c r="E57" s="4" t="s">
        <v>137</v>
      </c>
      <c r="F57" s="4" t="s">
        <v>428</v>
      </c>
      <c r="G57" s="4" t="s">
        <v>105</v>
      </c>
      <c r="H57" s="4" t="s">
        <v>429</v>
      </c>
      <c r="I57" s="4" t="s">
        <v>430</v>
      </c>
      <c r="J57" s="4" t="s">
        <v>431</v>
      </c>
      <c r="K57" s="4" t="s">
        <v>109</v>
      </c>
      <c r="L57" s="4"/>
      <c r="M57" s="4"/>
    </row>
    <row r="58" spans="1:13" ht="72" customHeight="1">
      <c r="A58" s="10" t="s">
        <v>432</v>
      </c>
      <c r="B58" s="4" t="s">
        <v>433</v>
      </c>
      <c r="C58" s="4" t="s">
        <v>434</v>
      </c>
      <c r="D58" s="4" t="s">
        <v>102</v>
      </c>
      <c r="E58" s="4" t="s">
        <v>103</v>
      </c>
      <c r="F58" s="4" t="s">
        <v>435</v>
      </c>
      <c r="G58" s="4" t="s">
        <v>105</v>
      </c>
      <c r="H58" s="4" t="s">
        <v>436</v>
      </c>
      <c r="I58" s="4" t="s">
        <v>437</v>
      </c>
      <c r="J58" s="4" t="s">
        <v>438</v>
      </c>
      <c r="K58" s="4" t="s">
        <v>109</v>
      </c>
      <c r="L58" s="4"/>
      <c r="M58" s="4"/>
    </row>
    <row r="59" spans="1:13" ht="72" customHeight="1">
      <c r="A59" s="10" t="s">
        <v>439</v>
      </c>
      <c r="B59" s="4" t="s">
        <v>433</v>
      </c>
      <c r="C59" s="4" t="s">
        <v>440</v>
      </c>
      <c r="D59" s="4" t="s">
        <v>102</v>
      </c>
      <c r="E59" s="4" t="s">
        <v>250</v>
      </c>
      <c r="F59" s="4" t="s">
        <v>441</v>
      </c>
      <c r="G59" s="4" t="s">
        <v>105</v>
      </c>
      <c r="H59" s="4" t="s">
        <v>442</v>
      </c>
      <c r="I59" s="4" t="s">
        <v>443</v>
      </c>
      <c r="J59" s="4" t="s">
        <v>444</v>
      </c>
      <c r="K59" s="4" t="s">
        <v>109</v>
      </c>
      <c r="L59" s="4"/>
      <c r="M59" s="4"/>
    </row>
    <row r="60" spans="1:13" ht="72" customHeight="1">
      <c r="A60" s="10" t="s">
        <v>445</v>
      </c>
      <c r="B60" s="4" t="s">
        <v>433</v>
      </c>
      <c r="C60" s="4" t="s">
        <v>446</v>
      </c>
      <c r="D60" s="4" t="s">
        <v>102</v>
      </c>
      <c r="E60" s="4" t="s">
        <v>195</v>
      </c>
      <c r="F60" s="4" t="s">
        <v>447</v>
      </c>
      <c r="G60" s="4" t="s">
        <v>448</v>
      </c>
      <c r="H60" s="4" t="s">
        <v>449</v>
      </c>
      <c r="I60" s="4" t="s">
        <v>450</v>
      </c>
      <c r="J60" s="4" t="s">
        <v>451</v>
      </c>
      <c r="K60" s="4" t="s">
        <v>109</v>
      </c>
      <c r="L60" s="4"/>
      <c r="M60" s="4"/>
    </row>
    <row r="61" spans="1:13" ht="72" customHeight="1">
      <c r="A61" s="10" t="s">
        <v>452</v>
      </c>
      <c r="B61" s="4" t="s">
        <v>433</v>
      </c>
      <c r="C61" s="4" t="s">
        <v>453</v>
      </c>
      <c r="D61" s="4" t="s">
        <v>102</v>
      </c>
      <c r="E61" s="4" t="s">
        <v>186</v>
      </c>
      <c r="F61" s="4" t="s">
        <v>454</v>
      </c>
      <c r="G61" s="4" t="s">
        <v>105</v>
      </c>
      <c r="H61" s="4" t="s">
        <v>455</v>
      </c>
      <c r="I61" s="4" t="s">
        <v>456</v>
      </c>
      <c r="J61" s="4" t="s">
        <v>457</v>
      </c>
      <c r="K61" s="4" t="s">
        <v>169</v>
      </c>
      <c r="L61" s="4"/>
      <c r="M61" s="4"/>
    </row>
    <row r="62" spans="1:13" ht="72" customHeight="1">
      <c r="A62" s="10" t="s">
        <v>458</v>
      </c>
      <c r="B62" s="4" t="s">
        <v>459</v>
      </c>
      <c r="C62" s="4" t="s">
        <v>460</v>
      </c>
      <c r="D62" s="4" t="s">
        <v>102</v>
      </c>
      <c r="E62" s="4" t="s">
        <v>103</v>
      </c>
      <c r="F62" s="4" t="s">
        <v>461</v>
      </c>
      <c r="G62" s="4" t="s">
        <v>462</v>
      </c>
      <c r="H62" s="4" t="s">
        <v>463</v>
      </c>
      <c r="I62" s="4" t="s">
        <v>464</v>
      </c>
      <c r="J62" s="4" t="s">
        <v>465</v>
      </c>
      <c r="K62" s="4" t="s">
        <v>109</v>
      </c>
      <c r="L62" s="4"/>
      <c r="M62" s="4"/>
    </row>
    <row r="63" spans="1:13" ht="72" customHeight="1">
      <c r="A63" s="10" t="s">
        <v>466</v>
      </c>
      <c r="B63" s="4" t="s">
        <v>459</v>
      </c>
      <c r="C63" s="4" t="s">
        <v>467</v>
      </c>
      <c r="D63" s="4" t="s">
        <v>102</v>
      </c>
      <c r="E63" s="4" t="s">
        <v>195</v>
      </c>
      <c r="F63" s="4" t="s">
        <v>468</v>
      </c>
      <c r="G63" s="4" t="s">
        <v>469</v>
      </c>
      <c r="H63" s="4" t="s">
        <v>470</v>
      </c>
      <c r="I63" s="4" t="s">
        <v>471</v>
      </c>
      <c r="J63" s="4" t="s">
        <v>472</v>
      </c>
      <c r="K63" s="4" t="s">
        <v>109</v>
      </c>
      <c r="L63" s="4"/>
      <c r="M63" s="4"/>
    </row>
    <row r="64" spans="1:13" ht="72" customHeight="1">
      <c r="A64" s="10" t="s">
        <v>473</v>
      </c>
      <c r="B64" s="4" t="s">
        <v>459</v>
      </c>
      <c r="C64" s="4" t="s">
        <v>474</v>
      </c>
      <c r="D64" s="4" t="s">
        <v>102</v>
      </c>
      <c r="E64" s="4" t="s">
        <v>412</v>
      </c>
      <c r="F64" s="4" t="s">
        <v>475</v>
      </c>
      <c r="G64" s="4" t="s">
        <v>476</v>
      </c>
      <c r="H64" s="4" t="s">
        <v>477</v>
      </c>
      <c r="I64" s="4" t="s">
        <v>478</v>
      </c>
      <c r="J64" s="4" t="s">
        <v>479</v>
      </c>
      <c r="K64" s="4" t="s">
        <v>109</v>
      </c>
      <c r="L64" s="4"/>
      <c r="M64" s="4"/>
    </row>
    <row r="65" spans="1:13" ht="72" customHeight="1">
      <c r="A65" s="10" t="s">
        <v>480</v>
      </c>
      <c r="B65" s="4" t="s">
        <v>459</v>
      </c>
      <c r="C65" s="4" t="s">
        <v>481</v>
      </c>
      <c r="D65" s="4" t="s">
        <v>102</v>
      </c>
      <c r="E65" s="4" t="s">
        <v>412</v>
      </c>
      <c r="F65" s="4" t="s">
        <v>482</v>
      </c>
      <c r="G65" s="4" t="s">
        <v>483</v>
      </c>
      <c r="H65" s="4" t="s">
        <v>484</v>
      </c>
      <c r="I65" s="4" t="s">
        <v>485</v>
      </c>
      <c r="J65" s="4" t="s">
        <v>486</v>
      </c>
      <c r="K65" s="4" t="s">
        <v>169</v>
      </c>
      <c r="L65" s="4" t="s">
        <v>487</v>
      </c>
      <c r="M65" s="4"/>
    </row>
    <row r="66" spans="1:13" ht="72" customHeight="1">
      <c r="A66" s="10" t="s">
        <v>488</v>
      </c>
      <c r="B66" s="4" t="s">
        <v>459</v>
      </c>
      <c r="C66" s="4" t="s">
        <v>489</v>
      </c>
      <c r="D66" s="4" t="s">
        <v>102</v>
      </c>
      <c r="E66" s="4" t="s">
        <v>121</v>
      </c>
      <c r="F66" s="4" t="s">
        <v>490</v>
      </c>
      <c r="G66" s="4" t="s">
        <v>491</v>
      </c>
      <c r="H66" s="4" t="s">
        <v>492</v>
      </c>
      <c r="I66" s="4" t="s">
        <v>493</v>
      </c>
      <c r="J66" s="4" t="s">
        <v>494</v>
      </c>
      <c r="K66" s="4" t="s">
        <v>169</v>
      </c>
      <c r="L66" s="4"/>
      <c r="M66" s="4"/>
    </row>
    <row r="67" spans="1:13" ht="72" customHeight="1">
      <c r="A67" s="10" t="s">
        <v>495</v>
      </c>
      <c r="B67" s="4" t="s">
        <v>496</v>
      </c>
      <c r="C67" s="4" t="s">
        <v>497</v>
      </c>
      <c r="D67" s="4" t="s">
        <v>102</v>
      </c>
      <c r="E67" s="4" t="s">
        <v>103</v>
      </c>
      <c r="F67" s="4" t="s">
        <v>498</v>
      </c>
      <c r="G67" s="4" t="s">
        <v>499</v>
      </c>
      <c r="H67" s="4" t="s">
        <v>500</v>
      </c>
      <c r="I67" s="4" t="s">
        <v>501</v>
      </c>
      <c r="J67" s="4" t="s">
        <v>502</v>
      </c>
      <c r="K67" s="4" t="s">
        <v>109</v>
      </c>
      <c r="L67" s="4"/>
      <c r="M67" s="4"/>
    </row>
    <row r="68" spans="1:13" ht="72" customHeight="1">
      <c r="A68" s="10" t="s">
        <v>503</v>
      </c>
      <c r="B68" s="4" t="s">
        <v>496</v>
      </c>
      <c r="C68" s="4" t="s">
        <v>504</v>
      </c>
      <c r="D68" s="4" t="s">
        <v>102</v>
      </c>
      <c r="E68" s="4" t="s">
        <v>103</v>
      </c>
      <c r="F68" s="4" t="s">
        <v>505</v>
      </c>
      <c r="G68" s="4" t="s">
        <v>506</v>
      </c>
      <c r="H68" s="4" t="s">
        <v>507</v>
      </c>
      <c r="I68" s="4" t="s">
        <v>508</v>
      </c>
      <c r="J68" s="4" t="s">
        <v>502</v>
      </c>
      <c r="K68" s="4" t="s">
        <v>109</v>
      </c>
      <c r="L68" s="4"/>
      <c r="M68" s="4"/>
    </row>
    <row r="69" spans="1:13" ht="72" customHeight="1">
      <c r="A69" s="10" t="s">
        <v>509</v>
      </c>
      <c r="B69" s="4" t="s">
        <v>496</v>
      </c>
      <c r="C69" s="4" t="s">
        <v>510</v>
      </c>
      <c r="D69" s="4" t="s">
        <v>102</v>
      </c>
      <c r="E69" s="4" t="s">
        <v>103</v>
      </c>
      <c r="F69" s="4" t="s">
        <v>505</v>
      </c>
      <c r="G69" s="4" t="s">
        <v>105</v>
      </c>
      <c r="H69" s="4" t="s">
        <v>511</v>
      </c>
      <c r="I69" s="4" t="s">
        <v>512</v>
      </c>
      <c r="J69" s="4" t="s">
        <v>502</v>
      </c>
      <c r="K69" s="4" t="s">
        <v>169</v>
      </c>
      <c r="L69" s="4"/>
      <c r="M69" s="4"/>
    </row>
    <row r="70" spans="1:13" ht="72" customHeight="1">
      <c r="A70" s="10" t="s">
        <v>513</v>
      </c>
      <c r="B70" s="4" t="s">
        <v>496</v>
      </c>
      <c r="C70" s="4" t="s">
        <v>514</v>
      </c>
      <c r="D70" s="4" t="s">
        <v>102</v>
      </c>
      <c r="E70" s="4" t="s">
        <v>195</v>
      </c>
      <c r="F70" s="4" t="s">
        <v>515</v>
      </c>
      <c r="G70" s="4" t="s">
        <v>516</v>
      </c>
      <c r="H70" s="4" t="s">
        <v>517</v>
      </c>
      <c r="I70" s="4" t="s">
        <v>518</v>
      </c>
      <c r="J70" s="4" t="s">
        <v>519</v>
      </c>
      <c r="K70" s="4" t="s">
        <v>169</v>
      </c>
      <c r="L70" s="4" t="s">
        <v>520</v>
      </c>
      <c r="M70" s="4"/>
    </row>
    <row r="71" spans="1:13" ht="72" customHeight="1">
      <c r="A71" s="10" t="s">
        <v>521</v>
      </c>
      <c r="B71" s="4" t="s">
        <v>522</v>
      </c>
      <c r="C71" s="4" t="s">
        <v>523</v>
      </c>
      <c r="D71" s="4" t="s">
        <v>102</v>
      </c>
      <c r="E71" s="4" t="s">
        <v>103</v>
      </c>
      <c r="F71" s="4" t="s">
        <v>524</v>
      </c>
      <c r="G71" s="4" t="s">
        <v>525</v>
      </c>
      <c r="H71" s="4" t="s">
        <v>526</v>
      </c>
      <c r="I71" s="4" t="s">
        <v>527</v>
      </c>
      <c r="J71" s="4" t="s">
        <v>528</v>
      </c>
      <c r="K71" s="4" t="s">
        <v>169</v>
      </c>
      <c r="L71" s="4" t="s">
        <v>529</v>
      </c>
      <c r="M71" s="4"/>
    </row>
    <row r="72" spans="1:13" ht="72" customHeight="1">
      <c r="A72" s="10" t="s">
        <v>530</v>
      </c>
      <c r="B72" s="4" t="s">
        <v>522</v>
      </c>
      <c r="C72" s="4" t="s">
        <v>531</v>
      </c>
      <c r="D72" s="4" t="s">
        <v>102</v>
      </c>
      <c r="E72" s="4" t="s">
        <v>121</v>
      </c>
      <c r="F72" s="4" t="s">
        <v>532</v>
      </c>
      <c r="G72" s="4" t="s">
        <v>533</v>
      </c>
      <c r="H72" s="4" t="s">
        <v>534</v>
      </c>
      <c r="I72" s="4" t="s">
        <v>535</v>
      </c>
      <c r="J72" s="4" t="s">
        <v>536</v>
      </c>
      <c r="K72" s="4" t="s">
        <v>169</v>
      </c>
      <c r="L72" s="4"/>
      <c r="M72" s="4"/>
    </row>
    <row r="73" spans="1:13" ht="72" customHeight="1">
      <c r="A73" s="10" t="s">
        <v>537</v>
      </c>
      <c r="B73" s="4" t="s">
        <v>522</v>
      </c>
      <c r="C73" s="4" t="s">
        <v>538</v>
      </c>
      <c r="D73" s="4" t="s">
        <v>102</v>
      </c>
      <c r="E73" s="4" t="s">
        <v>121</v>
      </c>
      <c r="F73" s="4" t="s">
        <v>532</v>
      </c>
      <c r="G73" s="4" t="s">
        <v>539</v>
      </c>
      <c r="H73" s="4" t="s">
        <v>540</v>
      </c>
      <c r="I73" s="4" t="s">
        <v>541</v>
      </c>
      <c r="J73" s="4" t="s">
        <v>494</v>
      </c>
      <c r="K73" s="4" t="s">
        <v>169</v>
      </c>
      <c r="L73" s="4"/>
      <c r="M73" s="4"/>
    </row>
    <row r="74" spans="1:13" ht="72" customHeight="1">
      <c r="A74" s="10" t="s">
        <v>542</v>
      </c>
      <c r="B74" s="4" t="s">
        <v>522</v>
      </c>
      <c r="C74" s="4" t="s">
        <v>543</v>
      </c>
      <c r="D74" s="4" t="s">
        <v>102</v>
      </c>
      <c r="E74" s="4" t="s">
        <v>137</v>
      </c>
      <c r="F74" s="4" t="s">
        <v>544</v>
      </c>
      <c r="G74" s="4" t="s">
        <v>105</v>
      </c>
      <c r="H74" s="4" t="s">
        <v>545</v>
      </c>
      <c r="I74" s="4" t="s">
        <v>546</v>
      </c>
      <c r="J74" s="4" t="s">
        <v>431</v>
      </c>
      <c r="K74" s="4" t="s">
        <v>109</v>
      </c>
      <c r="L74" s="4"/>
      <c r="M74" s="4"/>
    </row>
    <row r="75" spans="1:13" ht="72" customHeight="1">
      <c r="A75" s="10" t="s">
        <v>547</v>
      </c>
      <c r="B75" s="4" t="s">
        <v>186</v>
      </c>
      <c r="C75" s="4" t="s">
        <v>548</v>
      </c>
      <c r="D75" s="4" t="s">
        <v>102</v>
      </c>
      <c r="E75" s="4" t="s">
        <v>549</v>
      </c>
      <c r="F75" s="4" t="s">
        <v>550</v>
      </c>
      <c r="G75" s="4" t="s">
        <v>551</v>
      </c>
      <c r="H75" s="4" t="s">
        <v>552</v>
      </c>
      <c r="I75" s="4" t="s">
        <v>553</v>
      </c>
      <c r="J75" s="4" t="s">
        <v>554</v>
      </c>
      <c r="K75" s="4" t="s">
        <v>169</v>
      </c>
      <c r="L75" s="4"/>
      <c r="M75" s="4"/>
    </row>
    <row r="76" spans="1:13" ht="72" customHeight="1">
      <c r="A76" s="10" t="s">
        <v>555</v>
      </c>
      <c r="B76" s="4" t="s">
        <v>186</v>
      </c>
      <c r="C76" s="4" t="s">
        <v>556</v>
      </c>
      <c r="D76" s="4" t="s">
        <v>102</v>
      </c>
      <c r="E76" s="4" t="s">
        <v>121</v>
      </c>
      <c r="F76" s="4" t="s">
        <v>557</v>
      </c>
      <c r="G76" s="4" t="s">
        <v>551</v>
      </c>
      <c r="H76" s="4" t="s">
        <v>558</v>
      </c>
      <c r="I76" s="4" t="s">
        <v>559</v>
      </c>
      <c r="J76" s="4" t="s">
        <v>560</v>
      </c>
      <c r="K76" s="4" t="s">
        <v>109</v>
      </c>
      <c r="L76" s="4"/>
      <c r="M76" s="4"/>
    </row>
    <row r="77" spans="1:13" ht="72" customHeight="1">
      <c r="A77" s="10" t="s">
        <v>561</v>
      </c>
      <c r="B77" s="4" t="s">
        <v>186</v>
      </c>
      <c r="C77" s="4" t="s">
        <v>562</v>
      </c>
      <c r="D77" s="4" t="s">
        <v>102</v>
      </c>
      <c r="E77" s="4" t="s">
        <v>121</v>
      </c>
      <c r="F77" s="4" t="s">
        <v>563</v>
      </c>
      <c r="G77" s="4" t="s">
        <v>564</v>
      </c>
      <c r="H77" s="4" t="s">
        <v>565</v>
      </c>
      <c r="I77" s="4" t="s">
        <v>566</v>
      </c>
      <c r="J77" s="4" t="s">
        <v>567</v>
      </c>
      <c r="K77" s="4" t="s">
        <v>169</v>
      </c>
      <c r="L77" s="4"/>
      <c r="M77" s="4"/>
    </row>
    <row r="78" spans="1:13" ht="72" customHeight="1">
      <c r="A78" s="10" t="s">
        <v>568</v>
      </c>
      <c r="B78" s="4" t="s">
        <v>186</v>
      </c>
      <c r="C78" s="4" t="s">
        <v>569</v>
      </c>
      <c r="D78" s="4" t="s">
        <v>102</v>
      </c>
      <c r="E78" s="4" t="s">
        <v>186</v>
      </c>
      <c r="F78" s="4" t="s">
        <v>570</v>
      </c>
      <c r="G78" s="4" t="s">
        <v>105</v>
      </c>
      <c r="H78" s="4" t="s">
        <v>571</v>
      </c>
      <c r="I78" s="4" t="s">
        <v>572</v>
      </c>
      <c r="J78" s="4" t="s">
        <v>573</v>
      </c>
      <c r="K78" s="4" t="s">
        <v>109</v>
      </c>
      <c r="L78" s="4"/>
      <c r="M78" s="4"/>
    </row>
    <row r="79" spans="1:13" ht="72" customHeight="1">
      <c r="A79" s="10" t="s">
        <v>574</v>
      </c>
      <c r="B79" s="4" t="s">
        <v>575</v>
      </c>
      <c r="C79" s="4" t="s">
        <v>576</v>
      </c>
      <c r="D79" s="4" t="s">
        <v>102</v>
      </c>
      <c r="E79" s="4" t="s">
        <v>250</v>
      </c>
      <c r="F79" s="4" t="s">
        <v>577</v>
      </c>
      <c r="G79" s="4" t="s">
        <v>105</v>
      </c>
      <c r="H79" s="4" t="s">
        <v>578</v>
      </c>
      <c r="I79" s="4" t="s">
        <v>579</v>
      </c>
      <c r="J79" s="4" t="s">
        <v>575</v>
      </c>
      <c r="K79" s="4" t="s">
        <v>109</v>
      </c>
      <c r="L79" s="4"/>
      <c r="M79" s="4"/>
    </row>
    <row r="80" spans="1:13" ht="72" customHeight="1">
      <c r="A80" s="10" t="s">
        <v>580</v>
      </c>
      <c r="B80" s="4" t="s">
        <v>549</v>
      </c>
      <c r="C80" s="4" t="s">
        <v>581</v>
      </c>
      <c r="D80" s="4" t="s">
        <v>102</v>
      </c>
      <c r="E80" s="4" t="s">
        <v>549</v>
      </c>
      <c r="F80" s="4" t="s">
        <v>582</v>
      </c>
      <c r="G80" s="4" t="s">
        <v>583</v>
      </c>
      <c r="H80" s="4" t="s">
        <v>584</v>
      </c>
      <c r="I80" s="4" t="s">
        <v>585</v>
      </c>
      <c r="J80" s="4" t="s">
        <v>549</v>
      </c>
      <c r="K80" s="4" t="s">
        <v>169</v>
      </c>
      <c r="L80" s="4" t="s">
        <v>586</v>
      </c>
      <c r="M80" s="4"/>
    </row>
    <row r="81" spans="1:13" ht="72" customHeight="1">
      <c r="A81" s="10" t="s">
        <v>587</v>
      </c>
      <c r="B81" s="4" t="s">
        <v>588</v>
      </c>
      <c r="C81" s="4" t="s">
        <v>589</v>
      </c>
      <c r="D81" s="4" t="s">
        <v>102</v>
      </c>
      <c r="E81" s="4" t="s">
        <v>588</v>
      </c>
      <c r="F81" s="4" t="s">
        <v>590</v>
      </c>
      <c r="G81" s="4" t="s">
        <v>591</v>
      </c>
      <c r="H81" s="4" t="s">
        <v>592</v>
      </c>
      <c r="I81" s="4" t="s">
        <v>593</v>
      </c>
      <c r="J81" s="4" t="s">
        <v>594</v>
      </c>
      <c r="K81" s="4" t="s">
        <v>169</v>
      </c>
      <c r="L81" s="4"/>
      <c r="M81" s="4"/>
    </row>
    <row r="82" spans="1:13" ht="72" customHeight="1">
      <c r="A82" s="10" t="s">
        <v>595</v>
      </c>
      <c r="B82" s="4" t="s">
        <v>137</v>
      </c>
      <c r="C82" s="4" t="s">
        <v>596</v>
      </c>
      <c r="D82" s="4" t="s">
        <v>102</v>
      </c>
      <c r="E82" s="4" t="s">
        <v>137</v>
      </c>
      <c r="F82" s="4" t="s">
        <v>597</v>
      </c>
      <c r="G82" s="4" t="s">
        <v>105</v>
      </c>
      <c r="H82" s="4" t="s">
        <v>598</v>
      </c>
      <c r="I82" s="4" t="s">
        <v>599</v>
      </c>
      <c r="J82" s="4" t="s">
        <v>600</v>
      </c>
      <c r="K82" s="4" t="s">
        <v>109</v>
      </c>
      <c r="L82" s="4"/>
      <c r="M82" s="4"/>
    </row>
    <row r="83" spans="1:13" ht="72" customHeight="1">
      <c r="A83" s="10" t="s">
        <v>601</v>
      </c>
      <c r="B83" s="4" t="s">
        <v>137</v>
      </c>
      <c r="C83" s="4" t="s">
        <v>602</v>
      </c>
      <c r="D83" s="4" t="s">
        <v>102</v>
      </c>
      <c r="E83" s="4" t="s">
        <v>137</v>
      </c>
      <c r="F83" s="4" t="s">
        <v>130</v>
      </c>
      <c r="G83" s="4" t="s">
        <v>603</v>
      </c>
      <c r="H83" s="4" t="s">
        <v>604</v>
      </c>
      <c r="I83" s="4" t="s">
        <v>605</v>
      </c>
      <c r="J83" s="4" t="s">
        <v>606</v>
      </c>
      <c r="K83" s="4" t="s">
        <v>109</v>
      </c>
      <c r="L83" s="4"/>
      <c r="M83" s="4"/>
    </row>
    <row r="84" spans="1:13" ht="72" customHeight="1">
      <c r="A84" s="10" t="s">
        <v>607</v>
      </c>
      <c r="B84" s="4" t="s">
        <v>137</v>
      </c>
      <c r="C84" s="4" t="s">
        <v>608</v>
      </c>
      <c r="D84" s="4" t="s">
        <v>102</v>
      </c>
      <c r="E84" s="4" t="s">
        <v>137</v>
      </c>
      <c r="F84" s="4" t="s">
        <v>609</v>
      </c>
      <c r="G84" s="4" t="s">
        <v>610</v>
      </c>
      <c r="H84" s="4" t="s">
        <v>611</v>
      </c>
      <c r="I84" s="4" t="s">
        <v>612</v>
      </c>
      <c r="J84" s="4" t="s">
        <v>613</v>
      </c>
      <c r="K84" s="4" t="s">
        <v>109</v>
      </c>
      <c r="L84" s="4"/>
      <c r="M84" s="4"/>
    </row>
    <row r="85" spans="1:13" ht="72" customHeight="1">
      <c r="A85" s="10" t="s">
        <v>614</v>
      </c>
      <c r="B85" s="4" t="s">
        <v>137</v>
      </c>
      <c r="C85" s="4" t="s">
        <v>615</v>
      </c>
      <c r="D85" s="4" t="s">
        <v>102</v>
      </c>
      <c r="E85" s="4" t="s">
        <v>137</v>
      </c>
      <c r="F85" s="4" t="s">
        <v>616</v>
      </c>
      <c r="G85" s="4" t="s">
        <v>617</v>
      </c>
      <c r="H85" s="4" t="s">
        <v>618</v>
      </c>
      <c r="I85" s="4" t="s">
        <v>619</v>
      </c>
      <c r="J85" s="4" t="s">
        <v>620</v>
      </c>
      <c r="K85" s="4" t="s">
        <v>109</v>
      </c>
      <c r="L85" s="4"/>
      <c r="M85" s="4"/>
    </row>
    <row r="86" spans="1:13" ht="72" customHeight="1">
      <c r="A86" s="10" t="s">
        <v>621</v>
      </c>
      <c r="B86" s="4" t="s">
        <v>250</v>
      </c>
      <c r="C86" s="4" t="s">
        <v>622</v>
      </c>
      <c r="D86" s="4" t="s">
        <v>102</v>
      </c>
      <c r="E86" s="4" t="s">
        <v>250</v>
      </c>
      <c r="F86" s="4" t="s">
        <v>623</v>
      </c>
      <c r="G86" s="4" t="s">
        <v>105</v>
      </c>
      <c r="H86" s="4" t="s">
        <v>624</v>
      </c>
      <c r="I86" s="4" t="s">
        <v>625</v>
      </c>
      <c r="J86" s="4" t="s">
        <v>626</v>
      </c>
      <c r="K86" s="4" t="s">
        <v>109</v>
      </c>
      <c r="L86" s="4"/>
      <c r="M86" s="4"/>
    </row>
    <row r="87" spans="1:13" ht="72" customHeight="1">
      <c r="A87" s="10" t="s">
        <v>627</v>
      </c>
      <c r="B87" s="4" t="s">
        <v>250</v>
      </c>
      <c r="C87" s="4" t="s">
        <v>628</v>
      </c>
      <c r="D87" s="4" t="s">
        <v>102</v>
      </c>
      <c r="E87" s="4" t="s">
        <v>250</v>
      </c>
      <c r="F87" s="4" t="s">
        <v>629</v>
      </c>
      <c r="G87" s="4" t="s">
        <v>105</v>
      </c>
      <c r="H87" s="4" t="s">
        <v>630</v>
      </c>
      <c r="I87" s="4" t="s">
        <v>631</v>
      </c>
      <c r="J87" s="4" t="s">
        <v>632</v>
      </c>
      <c r="K87" s="4" t="s">
        <v>169</v>
      </c>
      <c r="L87" s="4"/>
      <c r="M87" s="4"/>
    </row>
    <row r="88" spans="1:13" ht="72" customHeight="1">
      <c r="A88" s="10" t="s">
        <v>633</v>
      </c>
      <c r="B88" s="4" t="s">
        <v>634</v>
      </c>
      <c r="C88" s="4" t="s">
        <v>635</v>
      </c>
      <c r="D88" s="4" t="s">
        <v>102</v>
      </c>
      <c r="E88" s="4" t="s">
        <v>634</v>
      </c>
      <c r="F88" s="4" t="s">
        <v>629</v>
      </c>
      <c r="G88" s="4" t="s">
        <v>636</v>
      </c>
      <c r="H88" s="4" t="s">
        <v>637</v>
      </c>
      <c r="I88" s="4" t="s">
        <v>638</v>
      </c>
      <c r="J88" s="4" t="s">
        <v>634</v>
      </c>
      <c r="K88" s="4" t="s">
        <v>169</v>
      </c>
      <c r="L88" s="4"/>
      <c r="M88" s="4"/>
    </row>
    <row r="89" spans="1:13" ht="72" customHeight="1">
      <c r="A89" s="10" t="s">
        <v>639</v>
      </c>
      <c r="B89" s="4" t="s">
        <v>250</v>
      </c>
      <c r="C89" s="4" t="s">
        <v>640</v>
      </c>
      <c r="D89" s="4" t="s">
        <v>102</v>
      </c>
      <c r="E89" s="4" t="s">
        <v>250</v>
      </c>
      <c r="F89" s="4" t="s">
        <v>641</v>
      </c>
      <c r="G89" s="4" t="s">
        <v>642</v>
      </c>
      <c r="H89" s="4" t="s">
        <v>643</v>
      </c>
      <c r="I89" s="4" t="s">
        <v>644</v>
      </c>
      <c r="J89" s="4" t="s">
        <v>640</v>
      </c>
      <c r="K89" s="4" t="s">
        <v>109</v>
      </c>
      <c r="L89" s="4"/>
      <c r="M89" s="4"/>
    </row>
    <row r="90" spans="1:13" ht="72" customHeight="1">
      <c r="A90" s="10" t="s">
        <v>645</v>
      </c>
      <c r="B90" s="4" t="s">
        <v>250</v>
      </c>
      <c r="C90" s="4" t="s">
        <v>646</v>
      </c>
      <c r="D90" s="4" t="s">
        <v>102</v>
      </c>
      <c r="E90" s="4" t="s">
        <v>250</v>
      </c>
      <c r="F90" s="4" t="s">
        <v>122</v>
      </c>
      <c r="G90" s="4" t="s">
        <v>647</v>
      </c>
      <c r="H90" s="4" t="s">
        <v>648</v>
      </c>
      <c r="I90" s="4" t="s">
        <v>649</v>
      </c>
      <c r="J90" s="4" t="s">
        <v>650</v>
      </c>
      <c r="K90" s="4" t="s">
        <v>109</v>
      </c>
      <c r="L90" s="4" t="s">
        <v>651</v>
      </c>
      <c r="M90" s="4"/>
    </row>
  </sheetData>
  <mergeCells count="3">
    <mergeCell ref="A1:M1"/>
    <mergeCell ref="A2:M2"/>
    <mergeCell ref="A4:M4"/>
  </mergeCells>
  <conditionalFormatting sqref="F6:F90">
    <cfRule type="containsText" dxfId="38" priority="1" operator="containsText" text="Critical"/>
    <cfRule type="containsText" dxfId="37" priority="2" operator="containsText" text="High"/>
  </conditionalFormatting>
  <conditionalFormatting sqref="L6:L90">
    <cfRule type="containsText" dxfId="36" priority="3" operator="containsText" text="Core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5"/>
  <sheetViews>
    <sheetView showGridLines="0" topLeftCell="B4" workbookViewId="0">
      <selection sqref="A1:O1"/>
    </sheetView>
  </sheetViews>
  <sheetFormatPr defaultRowHeight="13.8"/>
  <cols>
    <col min="1" max="1" width="15" customWidth="1"/>
    <col min="2" max="2" width="18" customWidth="1"/>
    <col min="3" max="3" width="14" customWidth="1"/>
    <col min="4" max="4" width="17" customWidth="1"/>
    <col min="5" max="5" width="21" customWidth="1"/>
    <col min="6" max="6" width="48" customWidth="1"/>
    <col min="7" max="7" width="50" customWidth="1"/>
    <col min="8" max="8" width="46" customWidth="1"/>
    <col min="9" max="9" width="16" customWidth="1"/>
    <col min="10" max="10" width="14" customWidth="1"/>
    <col min="11" max="11" width="23" customWidth="1"/>
    <col min="12" max="12" width="15" customWidth="1"/>
    <col min="13" max="14" width="18" customWidth="1"/>
    <col min="15" max="15" width="35" customWidth="1"/>
  </cols>
  <sheetData>
    <row r="1" spans="1:15" ht="30" customHeight="1">
      <c r="A1" s="26" t="s">
        <v>652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30" customHeight="1">
      <c r="A2" s="27" t="s">
        <v>653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4" spans="1:15" ht="30" customHeight="1">
      <c r="A4" s="40" t="s">
        <v>654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34.049999999999997" customHeight="1">
      <c r="A5" s="2" t="s">
        <v>655</v>
      </c>
      <c r="B5" s="2" t="s">
        <v>72</v>
      </c>
      <c r="C5" s="2" t="s">
        <v>86</v>
      </c>
      <c r="D5" s="2" t="s">
        <v>656</v>
      </c>
      <c r="E5" s="2" t="s">
        <v>657</v>
      </c>
      <c r="F5" s="2" t="s">
        <v>658</v>
      </c>
      <c r="G5" s="2" t="s">
        <v>659</v>
      </c>
      <c r="H5" s="2" t="s">
        <v>660</v>
      </c>
      <c r="I5" s="2" t="s">
        <v>661</v>
      </c>
      <c r="J5" s="2" t="s">
        <v>81</v>
      </c>
      <c r="K5" s="2" t="s">
        <v>662</v>
      </c>
      <c r="L5" s="2" t="s">
        <v>663</v>
      </c>
      <c r="M5" s="2" t="s">
        <v>664</v>
      </c>
      <c r="N5" s="2" t="s">
        <v>665</v>
      </c>
      <c r="O5" s="2" t="s">
        <v>666</v>
      </c>
    </row>
    <row r="6" spans="1:15" ht="58.05" customHeight="1">
      <c r="A6" s="3"/>
      <c r="B6" s="3"/>
      <c r="C6" s="3"/>
      <c r="D6" s="3" t="str">
        <f>IF($C6="","",IFERROR(VLOOKUP($C6,'Test Case Catalogue'!$A$6:$M$90,2,FALSE),""))</f>
        <v/>
      </c>
      <c r="E6" s="3" t="str">
        <f>IF($C6="","",IFERROR(VLOOKUP($C6,'Test Case Catalogue'!$A$6:$M$90,4,FALSE),""))</f>
        <v/>
      </c>
      <c r="F6" s="3" t="str">
        <f>IF($C6="","",IFERROR(VLOOKUP($C6,'Test Case Catalogue'!$A$6:$M$90,9,FALSE),""))</f>
        <v/>
      </c>
      <c r="G6" s="3" t="str">
        <f>IF($C6="","",IFERROR(VLOOKUP($C6,'Test Case Catalogue'!$A$6:$M$90,10,FALSE),""))</f>
        <v/>
      </c>
      <c r="H6" s="3"/>
      <c r="I6" s="3"/>
      <c r="J6" s="7"/>
      <c r="K6" s="3"/>
      <c r="L6" s="3"/>
      <c r="M6" s="3"/>
      <c r="N6" s="3"/>
      <c r="O6" s="3"/>
    </row>
    <row r="7" spans="1:15" ht="58.05" customHeight="1">
      <c r="A7" s="4"/>
      <c r="B7" s="4"/>
      <c r="C7" s="4"/>
      <c r="D7" s="4" t="str">
        <f>IF($C7="","",IFERROR(VLOOKUP($C7,'Test Case Catalogue'!$A$6:$M$90,2,FALSE),""))</f>
        <v/>
      </c>
      <c r="E7" s="4" t="str">
        <f>IF($C7="","",IFERROR(VLOOKUP($C7,'Test Case Catalogue'!$A$6:$M$90,4,FALSE),""))</f>
        <v/>
      </c>
      <c r="F7" s="4" t="str">
        <f>IF($C7="","",IFERROR(VLOOKUP($C7,'Test Case Catalogue'!$A$6:$M$90,9,FALSE),""))</f>
        <v/>
      </c>
      <c r="G7" s="4" t="str">
        <f>IF($C7="","",IFERROR(VLOOKUP($C7,'Test Case Catalogue'!$A$6:$M$90,10,FALSE),""))</f>
        <v/>
      </c>
      <c r="H7" s="4"/>
      <c r="I7" s="4"/>
      <c r="J7" s="8"/>
      <c r="K7" s="4"/>
      <c r="L7" s="4"/>
      <c r="M7" s="4"/>
      <c r="N7" s="4"/>
      <c r="O7" s="4"/>
    </row>
    <row r="8" spans="1:15" ht="58.05" customHeight="1">
      <c r="A8" s="4"/>
      <c r="B8" s="4"/>
      <c r="C8" s="4"/>
      <c r="D8" s="4" t="str">
        <f>IF($C8="","",IFERROR(VLOOKUP($C8,'Test Case Catalogue'!$A$6:$M$90,2,FALSE),""))</f>
        <v/>
      </c>
      <c r="E8" s="4" t="str">
        <f>IF($C8="","",IFERROR(VLOOKUP($C8,'Test Case Catalogue'!$A$6:$M$90,4,FALSE),""))</f>
        <v/>
      </c>
      <c r="F8" s="4" t="str">
        <f>IF($C8="","",IFERROR(VLOOKUP($C8,'Test Case Catalogue'!$A$6:$M$90,9,FALSE),""))</f>
        <v/>
      </c>
      <c r="G8" s="4" t="str">
        <f>IF($C8="","",IFERROR(VLOOKUP($C8,'Test Case Catalogue'!$A$6:$M$90,10,FALSE),""))</f>
        <v/>
      </c>
      <c r="H8" s="4"/>
      <c r="I8" s="4"/>
      <c r="J8" s="8"/>
      <c r="K8" s="4"/>
      <c r="L8" s="4"/>
      <c r="M8" s="4"/>
      <c r="N8" s="4"/>
      <c r="O8" s="4"/>
    </row>
    <row r="9" spans="1:15" ht="58.05" customHeight="1">
      <c r="A9" s="4"/>
      <c r="B9" s="4"/>
      <c r="C9" s="4"/>
      <c r="D9" s="4" t="str">
        <f>IF($C9="","",IFERROR(VLOOKUP($C9,'Test Case Catalogue'!$A$6:$M$90,2,FALSE),""))</f>
        <v/>
      </c>
      <c r="E9" s="4" t="str">
        <f>IF($C9="","",IFERROR(VLOOKUP($C9,'Test Case Catalogue'!$A$6:$M$90,4,FALSE),""))</f>
        <v/>
      </c>
      <c r="F9" s="4" t="str">
        <f>IF($C9="","",IFERROR(VLOOKUP($C9,'Test Case Catalogue'!$A$6:$M$90,9,FALSE),""))</f>
        <v/>
      </c>
      <c r="G9" s="4" t="str">
        <f>IF($C9="","",IFERROR(VLOOKUP($C9,'Test Case Catalogue'!$A$6:$M$90,10,FALSE),""))</f>
        <v/>
      </c>
      <c r="H9" s="4"/>
      <c r="I9" s="4"/>
      <c r="J9" s="8"/>
      <c r="K9" s="4"/>
      <c r="L9" s="4"/>
      <c r="M9" s="4"/>
      <c r="N9" s="4"/>
      <c r="O9" s="4"/>
    </row>
    <row r="10" spans="1:15" ht="58.05" customHeight="1">
      <c r="A10" s="4"/>
      <c r="B10" s="4"/>
      <c r="C10" s="4"/>
      <c r="D10" s="4" t="str">
        <f>IF($C10="","",IFERROR(VLOOKUP($C10,'Test Case Catalogue'!$A$6:$M$90,2,FALSE),""))</f>
        <v/>
      </c>
      <c r="E10" s="4" t="str">
        <f>IF($C10="","",IFERROR(VLOOKUP($C10,'Test Case Catalogue'!$A$6:$M$90,4,FALSE),""))</f>
        <v/>
      </c>
      <c r="F10" s="4" t="str">
        <f>IF($C10="","",IFERROR(VLOOKUP($C10,'Test Case Catalogue'!$A$6:$M$90,9,FALSE),""))</f>
        <v/>
      </c>
      <c r="G10" s="4" t="str">
        <f>IF($C10="","",IFERROR(VLOOKUP($C10,'Test Case Catalogue'!$A$6:$M$90,10,FALSE),""))</f>
        <v/>
      </c>
      <c r="H10" s="4"/>
      <c r="I10" s="4"/>
      <c r="J10" s="8"/>
      <c r="K10" s="4"/>
      <c r="L10" s="4"/>
      <c r="M10" s="4"/>
      <c r="N10" s="4"/>
      <c r="O10" s="4"/>
    </row>
    <row r="11" spans="1:15" ht="58.05" customHeight="1">
      <c r="A11" s="4"/>
      <c r="B11" s="4"/>
      <c r="C11" s="4"/>
      <c r="D11" s="4" t="str">
        <f>IF($C11="","",IFERROR(VLOOKUP($C11,'Test Case Catalogue'!$A$6:$M$90,2,FALSE),""))</f>
        <v/>
      </c>
      <c r="E11" s="4" t="str">
        <f>IF($C11="","",IFERROR(VLOOKUP($C11,'Test Case Catalogue'!$A$6:$M$90,4,FALSE),""))</f>
        <v/>
      </c>
      <c r="F11" s="4" t="str">
        <f>IF($C11="","",IFERROR(VLOOKUP($C11,'Test Case Catalogue'!$A$6:$M$90,9,FALSE),""))</f>
        <v/>
      </c>
      <c r="G11" s="4" t="str">
        <f>IF($C11="","",IFERROR(VLOOKUP($C11,'Test Case Catalogue'!$A$6:$M$90,10,FALSE),""))</f>
        <v/>
      </c>
      <c r="H11" s="4"/>
      <c r="I11" s="4"/>
      <c r="J11" s="8"/>
      <c r="K11" s="4"/>
      <c r="L11" s="4"/>
      <c r="M11" s="4"/>
      <c r="N11" s="4"/>
      <c r="O11" s="4"/>
    </row>
    <row r="12" spans="1:15" ht="58.05" customHeight="1">
      <c r="A12" s="4"/>
      <c r="B12" s="4"/>
      <c r="C12" s="4"/>
      <c r="D12" s="4" t="str">
        <f>IF($C12="","",IFERROR(VLOOKUP($C12,'Test Case Catalogue'!$A$6:$M$90,2,FALSE),""))</f>
        <v/>
      </c>
      <c r="E12" s="4" t="str">
        <f>IF($C12="","",IFERROR(VLOOKUP($C12,'Test Case Catalogue'!$A$6:$M$90,4,FALSE),""))</f>
        <v/>
      </c>
      <c r="F12" s="4" t="str">
        <f>IF($C12="","",IFERROR(VLOOKUP($C12,'Test Case Catalogue'!$A$6:$M$90,9,FALSE),""))</f>
        <v/>
      </c>
      <c r="G12" s="4" t="str">
        <f>IF($C12="","",IFERROR(VLOOKUP($C12,'Test Case Catalogue'!$A$6:$M$90,10,FALSE),""))</f>
        <v/>
      </c>
      <c r="H12" s="4"/>
      <c r="I12" s="4"/>
      <c r="J12" s="8"/>
      <c r="K12" s="4"/>
      <c r="L12" s="4"/>
      <c r="M12" s="4"/>
      <c r="N12" s="4"/>
      <c r="O12" s="4"/>
    </row>
    <row r="13" spans="1:15" ht="58.05" customHeight="1">
      <c r="A13" s="4"/>
      <c r="B13" s="4"/>
      <c r="C13" s="4"/>
      <c r="D13" s="4" t="str">
        <f>IF($C13="","",IFERROR(VLOOKUP($C13,'Test Case Catalogue'!$A$6:$M$90,2,FALSE),""))</f>
        <v/>
      </c>
      <c r="E13" s="4" t="str">
        <f>IF($C13="","",IFERROR(VLOOKUP($C13,'Test Case Catalogue'!$A$6:$M$90,4,FALSE),""))</f>
        <v/>
      </c>
      <c r="F13" s="4" t="str">
        <f>IF($C13="","",IFERROR(VLOOKUP($C13,'Test Case Catalogue'!$A$6:$M$90,9,FALSE),""))</f>
        <v/>
      </c>
      <c r="G13" s="4" t="str">
        <f>IF($C13="","",IFERROR(VLOOKUP($C13,'Test Case Catalogue'!$A$6:$M$90,10,FALSE),""))</f>
        <v/>
      </c>
      <c r="H13" s="4"/>
      <c r="I13" s="4"/>
      <c r="J13" s="8"/>
      <c r="K13" s="4"/>
      <c r="L13" s="4"/>
      <c r="M13" s="4"/>
      <c r="N13" s="4"/>
      <c r="O13" s="4"/>
    </row>
    <row r="14" spans="1:15" ht="58.05" customHeight="1">
      <c r="A14" s="4"/>
      <c r="B14" s="4"/>
      <c r="C14" s="4"/>
      <c r="D14" s="4" t="str">
        <f>IF($C14="","",IFERROR(VLOOKUP($C14,'Test Case Catalogue'!$A$6:$M$90,2,FALSE),""))</f>
        <v/>
      </c>
      <c r="E14" s="4" t="str">
        <f>IF($C14="","",IFERROR(VLOOKUP($C14,'Test Case Catalogue'!$A$6:$M$90,4,FALSE),""))</f>
        <v/>
      </c>
      <c r="F14" s="4" t="str">
        <f>IF($C14="","",IFERROR(VLOOKUP($C14,'Test Case Catalogue'!$A$6:$M$90,9,FALSE),""))</f>
        <v/>
      </c>
      <c r="G14" s="4" t="str">
        <f>IF($C14="","",IFERROR(VLOOKUP($C14,'Test Case Catalogue'!$A$6:$M$90,10,FALSE),""))</f>
        <v/>
      </c>
      <c r="H14" s="4"/>
      <c r="I14" s="4"/>
      <c r="J14" s="8"/>
      <c r="K14" s="4"/>
      <c r="L14" s="4"/>
      <c r="M14" s="4"/>
      <c r="N14" s="4"/>
      <c r="O14" s="4"/>
    </row>
    <row r="15" spans="1:15" ht="58.05" customHeight="1">
      <c r="A15" s="4"/>
      <c r="B15" s="4"/>
      <c r="C15" s="4"/>
      <c r="D15" s="4" t="str">
        <f>IF($C15="","",IFERROR(VLOOKUP($C15,'Test Case Catalogue'!$A$6:$M$90,2,FALSE),""))</f>
        <v/>
      </c>
      <c r="E15" s="4" t="str">
        <f>IF($C15="","",IFERROR(VLOOKUP($C15,'Test Case Catalogue'!$A$6:$M$90,4,FALSE),""))</f>
        <v/>
      </c>
      <c r="F15" s="4" t="str">
        <f>IF($C15="","",IFERROR(VLOOKUP($C15,'Test Case Catalogue'!$A$6:$M$90,9,FALSE),""))</f>
        <v/>
      </c>
      <c r="G15" s="4" t="str">
        <f>IF($C15="","",IFERROR(VLOOKUP($C15,'Test Case Catalogue'!$A$6:$M$90,10,FALSE),""))</f>
        <v/>
      </c>
      <c r="H15" s="4"/>
      <c r="I15" s="4"/>
      <c r="J15" s="8"/>
      <c r="K15" s="4"/>
      <c r="L15" s="4"/>
      <c r="M15" s="4"/>
      <c r="N15" s="4"/>
      <c r="O15" s="4"/>
    </row>
    <row r="16" spans="1:15" ht="58.05" customHeight="1">
      <c r="A16" s="4"/>
      <c r="B16" s="4"/>
      <c r="C16" s="4"/>
      <c r="D16" s="4" t="str">
        <f>IF($C16="","",IFERROR(VLOOKUP($C16,'Test Case Catalogue'!$A$6:$M$90,2,FALSE),""))</f>
        <v/>
      </c>
      <c r="E16" s="4" t="str">
        <f>IF($C16="","",IFERROR(VLOOKUP($C16,'Test Case Catalogue'!$A$6:$M$90,4,FALSE),""))</f>
        <v/>
      </c>
      <c r="F16" s="4" t="str">
        <f>IF($C16="","",IFERROR(VLOOKUP($C16,'Test Case Catalogue'!$A$6:$M$90,9,FALSE),""))</f>
        <v/>
      </c>
      <c r="G16" s="4" t="str">
        <f>IF($C16="","",IFERROR(VLOOKUP($C16,'Test Case Catalogue'!$A$6:$M$90,10,FALSE),""))</f>
        <v/>
      </c>
      <c r="H16" s="4"/>
      <c r="I16" s="4"/>
      <c r="J16" s="8"/>
      <c r="K16" s="4"/>
      <c r="L16" s="4"/>
      <c r="M16" s="4"/>
      <c r="N16" s="4"/>
      <c r="O16" s="4"/>
    </row>
    <row r="17" spans="1:15" ht="58.05" customHeight="1">
      <c r="A17" s="4"/>
      <c r="B17" s="4"/>
      <c r="C17" s="4"/>
      <c r="D17" s="4" t="str">
        <f>IF($C17="","",IFERROR(VLOOKUP($C17,'Test Case Catalogue'!$A$6:$M$90,2,FALSE),""))</f>
        <v/>
      </c>
      <c r="E17" s="4" t="str">
        <f>IF($C17="","",IFERROR(VLOOKUP($C17,'Test Case Catalogue'!$A$6:$M$90,4,FALSE),""))</f>
        <v/>
      </c>
      <c r="F17" s="4" t="str">
        <f>IF($C17="","",IFERROR(VLOOKUP($C17,'Test Case Catalogue'!$A$6:$M$90,9,FALSE),""))</f>
        <v/>
      </c>
      <c r="G17" s="4" t="str">
        <f>IF($C17="","",IFERROR(VLOOKUP($C17,'Test Case Catalogue'!$A$6:$M$90,10,FALSE),""))</f>
        <v/>
      </c>
      <c r="H17" s="4"/>
      <c r="I17" s="4"/>
      <c r="J17" s="8"/>
      <c r="K17" s="4"/>
      <c r="L17" s="4"/>
      <c r="M17" s="4"/>
      <c r="N17" s="4"/>
      <c r="O17" s="4"/>
    </row>
    <row r="18" spans="1:15" ht="58.05" customHeight="1">
      <c r="A18" s="4"/>
      <c r="B18" s="4"/>
      <c r="C18" s="4"/>
      <c r="D18" s="4" t="str">
        <f>IF($C18="","",IFERROR(VLOOKUP($C18,'Test Case Catalogue'!$A$6:$M$90,2,FALSE),""))</f>
        <v/>
      </c>
      <c r="E18" s="4" t="str">
        <f>IF($C18="","",IFERROR(VLOOKUP($C18,'Test Case Catalogue'!$A$6:$M$90,4,FALSE),""))</f>
        <v/>
      </c>
      <c r="F18" s="4" t="str">
        <f>IF($C18="","",IFERROR(VLOOKUP($C18,'Test Case Catalogue'!$A$6:$M$90,9,FALSE),""))</f>
        <v/>
      </c>
      <c r="G18" s="4" t="str">
        <f>IF($C18="","",IFERROR(VLOOKUP($C18,'Test Case Catalogue'!$A$6:$M$90,10,FALSE),""))</f>
        <v/>
      </c>
      <c r="H18" s="4"/>
      <c r="I18" s="4"/>
      <c r="J18" s="8"/>
      <c r="K18" s="4"/>
      <c r="L18" s="4"/>
      <c r="M18" s="4"/>
      <c r="N18" s="4"/>
      <c r="O18" s="4"/>
    </row>
    <row r="19" spans="1:15" ht="58.05" customHeight="1">
      <c r="A19" s="4"/>
      <c r="B19" s="4"/>
      <c r="C19" s="4"/>
      <c r="D19" s="4" t="str">
        <f>IF($C19="","",IFERROR(VLOOKUP($C19,'Test Case Catalogue'!$A$6:$M$90,2,FALSE),""))</f>
        <v/>
      </c>
      <c r="E19" s="4" t="str">
        <f>IF($C19="","",IFERROR(VLOOKUP($C19,'Test Case Catalogue'!$A$6:$M$90,4,FALSE),""))</f>
        <v/>
      </c>
      <c r="F19" s="4" t="str">
        <f>IF($C19="","",IFERROR(VLOOKUP($C19,'Test Case Catalogue'!$A$6:$M$90,9,FALSE),""))</f>
        <v/>
      </c>
      <c r="G19" s="4" t="str">
        <f>IF($C19="","",IFERROR(VLOOKUP($C19,'Test Case Catalogue'!$A$6:$M$90,10,FALSE),""))</f>
        <v/>
      </c>
      <c r="H19" s="4"/>
      <c r="I19" s="4"/>
      <c r="J19" s="8"/>
      <c r="K19" s="4"/>
      <c r="L19" s="4"/>
      <c r="M19" s="4"/>
      <c r="N19" s="4"/>
      <c r="O19" s="4"/>
    </row>
    <row r="20" spans="1:15" ht="58.05" customHeight="1">
      <c r="A20" s="4"/>
      <c r="B20" s="4"/>
      <c r="C20" s="4"/>
      <c r="D20" s="4" t="str">
        <f>IF($C20="","",IFERROR(VLOOKUP($C20,'Test Case Catalogue'!$A$6:$M$90,2,FALSE),""))</f>
        <v/>
      </c>
      <c r="E20" s="4" t="str">
        <f>IF($C20="","",IFERROR(VLOOKUP($C20,'Test Case Catalogue'!$A$6:$M$90,4,FALSE),""))</f>
        <v/>
      </c>
      <c r="F20" s="4" t="str">
        <f>IF($C20="","",IFERROR(VLOOKUP($C20,'Test Case Catalogue'!$A$6:$M$90,9,FALSE),""))</f>
        <v/>
      </c>
      <c r="G20" s="4" t="str">
        <f>IF($C20="","",IFERROR(VLOOKUP($C20,'Test Case Catalogue'!$A$6:$M$90,10,FALSE),""))</f>
        <v/>
      </c>
      <c r="H20" s="4"/>
      <c r="I20" s="4"/>
      <c r="J20" s="8"/>
      <c r="K20" s="4"/>
      <c r="L20" s="4"/>
      <c r="M20" s="4"/>
      <c r="N20" s="4"/>
      <c r="O20" s="4"/>
    </row>
    <row r="21" spans="1:15" ht="58.05" customHeight="1">
      <c r="A21" s="4"/>
      <c r="B21" s="4"/>
      <c r="C21" s="4"/>
      <c r="D21" s="4" t="str">
        <f>IF($C21="","",IFERROR(VLOOKUP($C21,'Test Case Catalogue'!$A$6:$M$90,2,FALSE),""))</f>
        <v/>
      </c>
      <c r="E21" s="4" t="str">
        <f>IF($C21="","",IFERROR(VLOOKUP($C21,'Test Case Catalogue'!$A$6:$M$90,4,FALSE),""))</f>
        <v/>
      </c>
      <c r="F21" s="4" t="str">
        <f>IF($C21="","",IFERROR(VLOOKUP($C21,'Test Case Catalogue'!$A$6:$M$90,9,FALSE),""))</f>
        <v/>
      </c>
      <c r="G21" s="4" t="str">
        <f>IF($C21="","",IFERROR(VLOOKUP($C21,'Test Case Catalogue'!$A$6:$M$90,10,FALSE),""))</f>
        <v/>
      </c>
      <c r="H21" s="4"/>
      <c r="I21" s="4"/>
      <c r="J21" s="8"/>
      <c r="K21" s="4"/>
      <c r="L21" s="4"/>
      <c r="M21" s="4"/>
      <c r="N21" s="4"/>
      <c r="O21" s="4"/>
    </row>
    <row r="22" spans="1:15" ht="58.05" customHeight="1">
      <c r="A22" s="4"/>
      <c r="B22" s="4"/>
      <c r="C22" s="4"/>
      <c r="D22" s="4" t="str">
        <f>IF($C22="","",IFERROR(VLOOKUP($C22,'Test Case Catalogue'!$A$6:$M$90,2,FALSE),""))</f>
        <v/>
      </c>
      <c r="E22" s="4" t="str">
        <f>IF($C22="","",IFERROR(VLOOKUP($C22,'Test Case Catalogue'!$A$6:$M$90,4,FALSE),""))</f>
        <v/>
      </c>
      <c r="F22" s="4" t="str">
        <f>IF($C22="","",IFERROR(VLOOKUP($C22,'Test Case Catalogue'!$A$6:$M$90,9,FALSE),""))</f>
        <v/>
      </c>
      <c r="G22" s="4" t="str">
        <f>IF($C22="","",IFERROR(VLOOKUP($C22,'Test Case Catalogue'!$A$6:$M$90,10,FALSE),""))</f>
        <v/>
      </c>
      <c r="H22" s="4"/>
      <c r="I22" s="4"/>
      <c r="J22" s="8"/>
      <c r="K22" s="4"/>
      <c r="L22" s="4"/>
      <c r="M22" s="4"/>
      <c r="N22" s="4"/>
      <c r="O22" s="4"/>
    </row>
    <row r="23" spans="1:15" ht="58.05" customHeight="1">
      <c r="A23" s="4"/>
      <c r="B23" s="4"/>
      <c r="C23" s="4"/>
      <c r="D23" s="4" t="str">
        <f>IF($C23="","",IFERROR(VLOOKUP($C23,'Test Case Catalogue'!$A$6:$M$90,2,FALSE),""))</f>
        <v/>
      </c>
      <c r="E23" s="4" t="str">
        <f>IF($C23="","",IFERROR(VLOOKUP($C23,'Test Case Catalogue'!$A$6:$M$90,4,FALSE),""))</f>
        <v/>
      </c>
      <c r="F23" s="4" t="str">
        <f>IF($C23="","",IFERROR(VLOOKUP($C23,'Test Case Catalogue'!$A$6:$M$90,9,FALSE),""))</f>
        <v/>
      </c>
      <c r="G23" s="4" t="str">
        <f>IF($C23="","",IFERROR(VLOOKUP($C23,'Test Case Catalogue'!$A$6:$M$90,10,FALSE),""))</f>
        <v/>
      </c>
      <c r="H23" s="4"/>
      <c r="I23" s="4"/>
      <c r="J23" s="8"/>
      <c r="K23" s="4"/>
      <c r="L23" s="4"/>
      <c r="M23" s="4"/>
      <c r="N23" s="4"/>
      <c r="O23" s="4"/>
    </row>
    <row r="24" spans="1:15" ht="58.05" customHeight="1">
      <c r="A24" s="4"/>
      <c r="B24" s="4"/>
      <c r="C24" s="4"/>
      <c r="D24" s="4" t="str">
        <f>IF($C24="","",IFERROR(VLOOKUP($C24,'Test Case Catalogue'!$A$6:$M$90,2,FALSE),""))</f>
        <v/>
      </c>
      <c r="E24" s="4" t="str">
        <f>IF($C24="","",IFERROR(VLOOKUP($C24,'Test Case Catalogue'!$A$6:$M$90,4,FALSE),""))</f>
        <v/>
      </c>
      <c r="F24" s="4" t="str">
        <f>IF($C24="","",IFERROR(VLOOKUP($C24,'Test Case Catalogue'!$A$6:$M$90,9,FALSE),""))</f>
        <v/>
      </c>
      <c r="G24" s="4" t="str">
        <f>IF($C24="","",IFERROR(VLOOKUP($C24,'Test Case Catalogue'!$A$6:$M$90,10,FALSE),""))</f>
        <v/>
      </c>
      <c r="H24" s="4"/>
      <c r="I24" s="4"/>
      <c r="J24" s="8"/>
      <c r="K24" s="4"/>
      <c r="L24" s="4"/>
      <c r="M24" s="4"/>
      <c r="N24" s="4"/>
      <c r="O24" s="4"/>
    </row>
    <row r="25" spans="1:15" ht="58.05" customHeight="1">
      <c r="A25" s="4"/>
      <c r="B25" s="4"/>
      <c r="C25" s="4"/>
      <c r="D25" s="4" t="str">
        <f>IF($C25="","",IFERROR(VLOOKUP($C25,'Test Case Catalogue'!$A$6:$M$90,2,FALSE),""))</f>
        <v/>
      </c>
      <c r="E25" s="4" t="str">
        <f>IF($C25="","",IFERROR(VLOOKUP($C25,'Test Case Catalogue'!$A$6:$M$90,4,FALSE),""))</f>
        <v/>
      </c>
      <c r="F25" s="4" t="str">
        <f>IF($C25="","",IFERROR(VLOOKUP($C25,'Test Case Catalogue'!$A$6:$M$90,9,FALSE),""))</f>
        <v/>
      </c>
      <c r="G25" s="4" t="str">
        <f>IF($C25="","",IFERROR(VLOOKUP($C25,'Test Case Catalogue'!$A$6:$M$90,10,FALSE),""))</f>
        <v/>
      </c>
      <c r="H25" s="4"/>
      <c r="I25" s="4"/>
      <c r="J25" s="8"/>
      <c r="K25" s="4"/>
      <c r="L25" s="4"/>
      <c r="M25" s="4"/>
      <c r="N25" s="4"/>
      <c r="O25" s="4"/>
    </row>
    <row r="26" spans="1:15" ht="58.05" customHeight="1">
      <c r="A26" s="4"/>
      <c r="B26" s="4"/>
      <c r="C26" s="4"/>
      <c r="D26" s="4" t="str">
        <f>IF($C26="","",IFERROR(VLOOKUP($C26,'Test Case Catalogue'!$A$6:$M$90,2,FALSE),""))</f>
        <v/>
      </c>
      <c r="E26" s="4" t="str">
        <f>IF($C26="","",IFERROR(VLOOKUP($C26,'Test Case Catalogue'!$A$6:$M$90,4,FALSE),""))</f>
        <v/>
      </c>
      <c r="F26" s="4" t="str">
        <f>IF($C26="","",IFERROR(VLOOKUP($C26,'Test Case Catalogue'!$A$6:$M$90,9,FALSE),""))</f>
        <v/>
      </c>
      <c r="G26" s="4" t="str">
        <f>IF($C26="","",IFERROR(VLOOKUP($C26,'Test Case Catalogue'!$A$6:$M$90,10,FALSE),""))</f>
        <v/>
      </c>
      <c r="H26" s="4"/>
      <c r="I26" s="4"/>
      <c r="J26" s="8"/>
      <c r="K26" s="4"/>
      <c r="L26" s="4"/>
      <c r="M26" s="4"/>
      <c r="N26" s="4"/>
      <c r="O26" s="4"/>
    </row>
    <row r="27" spans="1:15" ht="58.05" customHeight="1">
      <c r="A27" s="4"/>
      <c r="B27" s="4"/>
      <c r="C27" s="4"/>
      <c r="D27" s="4" t="str">
        <f>IF($C27="","",IFERROR(VLOOKUP($C27,'Test Case Catalogue'!$A$6:$M$90,2,FALSE),""))</f>
        <v/>
      </c>
      <c r="E27" s="4" t="str">
        <f>IF($C27="","",IFERROR(VLOOKUP($C27,'Test Case Catalogue'!$A$6:$M$90,4,FALSE),""))</f>
        <v/>
      </c>
      <c r="F27" s="4" t="str">
        <f>IF($C27="","",IFERROR(VLOOKUP($C27,'Test Case Catalogue'!$A$6:$M$90,9,FALSE),""))</f>
        <v/>
      </c>
      <c r="G27" s="4" t="str">
        <f>IF($C27="","",IFERROR(VLOOKUP($C27,'Test Case Catalogue'!$A$6:$M$90,10,FALSE),""))</f>
        <v/>
      </c>
      <c r="H27" s="4"/>
      <c r="I27" s="4"/>
      <c r="J27" s="8"/>
      <c r="K27" s="4"/>
      <c r="L27" s="4"/>
      <c r="M27" s="4"/>
      <c r="N27" s="4"/>
      <c r="O27" s="4"/>
    </row>
    <row r="28" spans="1:15" ht="58.05" customHeight="1">
      <c r="A28" s="4"/>
      <c r="B28" s="4"/>
      <c r="C28" s="4"/>
      <c r="D28" s="4" t="str">
        <f>IF($C28="","",IFERROR(VLOOKUP($C28,'Test Case Catalogue'!$A$6:$M$90,2,FALSE),""))</f>
        <v/>
      </c>
      <c r="E28" s="4" t="str">
        <f>IF($C28="","",IFERROR(VLOOKUP($C28,'Test Case Catalogue'!$A$6:$M$90,4,FALSE),""))</f>
        <v/>
      </c>
      <c r="F28" s="4" t="str">
        <f>IF($C28="","",IFERROR(VLOOKUP($C28,'Test Case Catalogue'!$A$6:$M$90,9,FALSE),""))</f>
        <v/>
      </c>
      <c r="G28" s="4" t="str">
        <f>IF($C28="","",IFERROR(VLOOKUP($C28,'Test Case Catalogue'!$A$6:$M$90,10,FALSE),""))</f>
        <v/>
      </c>
      <c r="H28" s="4"/>
      <c r="I28" s="4"/>
      <c r="J28" s="8"/>
      <c r="K28" s="4"/>
      <c r="L28" s="4"/>
      <c r="M28" s="4"/>
      <c r="N28" s="4"/>
      <c r="O28" s="4"/>
    </row>
    <row r="29" spans="1:15" ht="58.05" customHeight="1">
      <c r="A29" s="4"/>
      <c r="B29" s="4"/>
      <c r="C29" s="4"/>
      <c r="D29" s="4" t="str">
        <f>IF($C29="","",IFERROR(VLOOKUP($C29,'Test Case Catalogue'!$A$6:$M$90,2,FALSE),""))</f>
        <v/>
      </c>
      <c r="E29" s="4" t="str">
        <f>IF($C29="","",IFERROR(VLOOKUP($C29,'Test Case Catalogue'!$A$6:$M$90,4,FALSE),""))</f>
        <v/>
      </c>
      <c r="F29" s="4" t="str">
        <f>IF($C29="","",IFERROR(VLOOKUP($C29,'Test Case Catalogue'!$A$6:$M$90,9,FALSE),""))</f>
        <v/>
      </c>
      <c r="G29" s="4" t="str">
        <f>IF($C29="","",IFERROR(VLOOKUP($C29,'Test Case Catalogue'!$A$6:$M$90,10,FALSE),""))</f>
        <v/>
      </c>
      <c r="H29" s="4"/>
      <c r="I29" s="4"/>
      <c r="J29" s="8"/>
      <c r="K29" s="4"/>
      <c r="L29" s="4"/>
      <c r="M29" s="4"/>
      <c r="N29" s="4"/>
      <c r="O29" s="4"/>
    </row>
    <row r="30" spans="1:15" ht="58.05" customHeight="1">
      <c r="A30" s="4"/>
      <c r="B30" s="4"/>
      <c r="C30" s="4"/>
      <c r="D30" s="4" t="str">
        <f>IF($C30="","",IFERROR(VLOOKUP($C30,'Test Case Catalogue'!$A$6:$M$90,2,FALSE),""))</f>
        <v/>
      </c>
      <c r="E30" s="4" t="str">
        <f>IF($C30="","",IFERROR(VLOOKUP($C30,'Test Case Catalogue'!$A$6:$M$90,4,FALSE),""))</f>
        <v/>
      </c>
      <c r="F30" s="4" t="str">
        <f>IF($C30="","",IFERROR(VLOOKUP($C30,'Test Case Catalogue'!$A$6:$M$90,9,FALSE),""))</f>
        <v/>
      </c>
      <c r="G30" s="4" t="str">
        <f>IF($C30="","",IFERROR(VLOOKUP($C30,'Test Case Catalogue'!$A$6:$M$90,10,FALSE),""))</f>
        <v/>
      </c>
      <c r="H30" s="4"/>
      <c r="I30" s="4"/>
      <c r="J30" s="8"/>
      <c r="K30" s="4"/>
      <c r="L30" s="4"/>
      <c r="M30" s="4"/>
      <c r="N30" s="4"/>
      <c r="O30" s="4"/>
    </row>
    <row r="31" spans="1:15" ht="58.05" customHeight="1">
      <c r="A31" s="4"/>
      <c r="B31" s="4"/>
      <c r="C31" s="4"/>
      <c r="D31" s="4" t="str">
        <f>IF($C31="","",IFERROR(VLOOKUP($C31,'Test Case Catalogue'!$A$6:$M$90,2,FALSE),""))</f>
        <v/>
      </c>
      <c r="E31" s="4" t="str">
        <f>IF($C31="","",IFERROR(VLOOKUP($C31,'Test Case Catalogue'!$A$6:$M$90,4,FALSE),""))</f>
        <v/>
      </c>
      <c r="F31" s="4" t="str">
        <f>IF($C31="","",IFERROR(VLOOKUP($C31,'Test Case Catalogue'!$A$6:$M$90,9,FALSE),""))</f>
        <v/>
      </c>
      <c r="G31" s="4" t="str">
        <f>IF($C31="","",IFERROR(VLOOKUP($C31,'Test Case Catalogue'!$A$6:$M$90,10,FALSE),""))</f>
        <v/>
      </c>
      <c r="H31" s="4"/>
      <c r="I31" s="4"/>
      <c r="J31" s="8"/>
      <c r="K31" s="4"/>
      <c r="L31" s="4"/>
      <c r="M31" s="4"/>
      <c r="N31" s="4"/>
      <c r="O31" s="4"/>
    </row>
    <row r="32" spans="1:15" ht="58.05" customHeight="1">
      <c r="A32" s="4"/>
      <c r="B32" s="4"/>
      <c r="C32" s="4"/>
      <c r="D32" s="4" t="str">
        <f>IF($C32="","",IFERROR(VLOOKUP($C32,'Test Case Catalogue'!$A$6:$M$90,2,FALSE),""))</f>
        <v/>
      </c>
      <c r="E32" s="4" t="str">
        <f>IF($C32="","",IFERROR(VLOOKUP($C32,'Test Case Catalogue'!$A$6:$M$90,4,FALSE),""))</f>
        <v/>
      </c>
      <c r="F32" s="4" t="str">
        <f>IF($C32="","",IFERROR(VLOOKUP($C32,'Test Case Catalogue'!$A$6:$M$90,9,FALSE),""))</f>
        <v/>
      </c>
      <c r="G32" s="4" t="str">
        <f>IF($C32="","",IFERROR(VLOOKUP($C32,'Test Case Catalogue'!$A$6:$M$90,10,FALSE),""))</f>
        <v/>
      </c>
      <c r="H32" s="4"/>
      <c r="I32" s="4"/>
      <c r="J32" s="8"/>
      <c r="K32" s="4"/>
      <c r="L32" s="4"/>
      <c r="M32" s="4"/>
      <c r="N32" s="4"/>
      <c r="O32" s="4"/>
    </row>
    <row r="33" spans="1:15" ht="58.05" customHeight="1">
      <c r="A33" s="4"/>
      <c r="B33" s="4"/>
      <c r="C33" s="4"/>
      <c r="D33" s="4" t="str">
        <f>IF($C33="","",IFERROR(VLOOKUP($C33,'Test Case Catalogue'!$A$6:$M$90,2,FALSE),""))</f>
        <v/>
      </c>
      <c r="E33" s="4" t="str">
        <f>IF($C33="","",IFERROR(VLOOKUP($C33,'Test Case Catalogue'!$A$6:$M$90,4,FALSE),""))</f>
        <v/>
      </c>
      <c r="F33" s="4" t="str">
        <f>IF($C33="","",IFERROR(VLOOKUP($C33,'Test Case Catalogue'!$A$6:$M$90,9,FALSE),""))</f>
        <v/>
      </c>
      <c r="G33" s="4" t="str">
        <f>IF($C33="","",IFERROR(VLOOKUP($C33,'Test Case Catalogue'!$A$6:$M$90,10,FALSE),""))</f>
        <v/>
      </c>
      <c r="H33" s="4"/>
      <c r="I33" s="4"/>
      <c r="J33" s="8"/>
      <c r="K33" s="4"/>
      <c r="L33" s="4"/>
      <c r="M33" s="4"/>
      <c r="N33" s="4"/>
      <c r="O33" s="4"/>
    </row>
    <row r="34" spans="1:15" ht="58.05" customHeight="1">
      <c r="A34" s="4"/>
      <c r="B34" s="4"/>
      <c r="C34" s="4"/>
      <c r="D34" s="4" t="str">
        <f>IF($C34="","",IFERROR(VLOOKUP($C34,'Test Case Catalogue'!$A$6:$M$90,2,FALSE),""))</f>
        <v/>
      </c>
      <c r="E34" s="4" t="str">
        <f>IF($C34="","",IFERROR(VLOOKUP($C34,'Test Case Catalogue'!$A$6:$M$90,4,FALSE),""))</f>
        <v/>
      </c>
      <c r="F34" s="4" t="str">
        <f>IF($C34="","",IFERROR(VLOOKUP($C34,'Test Case Catalogue'!$A$6:$M$90,9,FALSE),""))</f>
        <v/>
      </c>
      <c r="G34" s="4" t="str">
        <f>IF($C34="","",IFERROR(VLOOKUP($C34,'Test Case Catalogue'!$A$6:$M$90,10,FALSE),""))</f>
        <v/>
      </c>
      <c r="H34" s="4"/>
      <c r="I34" s="4"/>
      <c r="J34" s="8"/>
      <c r="K34" s="4"/>
      <c r="L34" s="4"/>
      <c r="M34" s="4"/>
      <c r="N34" s="4"/>
      <c r="O34" s="4"/>
    </row>
    <row r="35" spans="1:15" ht="58.05" customHeight="1">
      <c r="A35" s="4"/>
      <c r="B35" s="4"/>
      <c r="C35" s="4"/>
      <c r="D35" s="4" t="str">
        <f>IF($C35="","",IFERROR(VLOOKUP($C35,'Test Case Catalogue'!$A$6:$M$90,2,FALSE),""))</f>
        <v/>
      </c>
      <c r="E35" s="4" t="str">
        <f>IF($C35="","",IFERROR(VLOOKUP($C35,'Test Case Catalogue'!$A$6:$M$90,4,FALSE),""))</f>
        <v/>
      </c>
      <c r="F35" s="4" t="str">
        <f>IF($C35="","",IFERROR(VLOOKUP($C35,'Test Case Catalogue'!$A$6:$M$90,9,FALSE),""))</f>
        <v/>
      </c>
      <c r="G35" s="4" t="str">
        <f>IF($C35="","",IFERROR(VLOOKUP($C35,'Test Case Catalogue'!$A$6:$M$90,10,FALSE),""))</f>
        <v/>
      </c>
      <c r="H35" s="4"/>
      <c r="I35" s="4"/>
      <c r="J35" s="8"/>
      <c r="K35" s="4"/>
      <c r="L35" s="4"/>
      <c r="M35" s="4"/>
      <c r="N35" s="4"/>
      <c r="O35" s="4"/>
    </row>
    <row r="36" spans="1:15" ht="58.05" customHeight="1">
      <c r="A36" s="4"/>
      <c r="B36" s="4"/>
      <c r="C36" s="4"/>
      <c r="D36" s="4" t="str">
        <f>IF($C36="","",IFERROR(VLOOKUP($C36,'Test Case Catalogue'!$A$6:$M$90,2,FALSE),""))</f>
        <v/>
      </c>
      <c r="E36" s="4" t="str">
        <f>IF($C36="","",IFERROR(VLOOKUP($C36,'Test Case Catalogue'!$A$6:$M$90,4,FALSE),""))</f>
        <v/>
      </c>
      <c r="F36" s="4" t="str">
        <f>IF($C36="","",IFERROR(VLOOKUP($C36,'Test Case Catalogue'!$A$6:$M$90,9,FALSE),""))</f>
        <v/>
      </c>
      <c r="G36" s="4" t="str">
        <f>IF($C36="","",IFERROR(VLOOKUP($C36,'Test Case Catalogue'!$A$6:$M$90,10,FALSE),""))</f>
        <v/>
      </c>
      <c r="H36" s="4"/>
      <c r="I36" s="4"/>
      <c r="J36" s="8"/>
      <c r="K36" s="4"/>
      <c r="L36" s="4"/>
      <c r="M36" s="4"/>
      <c r="N36" s="4"/>
      <c r="O36" s="4"/>
    </row>
    <row r="37" spans="1:15" ht="58.05" customHeight="1">
      <c r="A37" s="4"/>
      <c r="B37" s="4"/>
      <c r="C37" s="4"/>
      <c r="D37" s="4" t="str">
        <f>IF($C37="","",IFERROR(VLOOKUP($C37,'Test Case Catalogue'!$A$6:$M$90,2,FALSE),""))</f>
        <v/>
      </c>
      <c r="E37" s="4" t="str">
        <f>IF($C37="","",IFERROR(VLOOKUP($C37,'Test Case Catalogue'!$A$6:$M$90,4,FALSE),""))</f>
        <v/>
      </c>
      <c r="F37" s="4" t="str">
        <f>IF($C37="","",IFERROR(VLOOKUP($C37,'Test Case Catalogue'!$A$6:$M$90,9,FALSE),""))</f>
        <v/>
      </c>
      <c r="G37" s="4" t="str">
        <f>IF($C37="","",IFERROR(VLOOKUP($C37,'Test Case Catalogue'!$A$6:$M$90,10,FALSE),""))</f>
        <v/>
      </c>
      <c r="H37" s="4"/>
      <c r="I37" s="4"/>
      <c r="J37" s="8"/>
      <c r="K37" s="4"/>
      <c r="L37" s="4"/>
      <c r="M37" s="4"/>
      <c r="N37" s="4"/>
      <c r="O37" s="4"/>
    </row>
    <row r="38" spans="1:15" ht="58.05" customHeight="1">
      <c r="A38" s="4"/>
      <c r="B38" s="4"/>
      <c r="C38" s="4"/>
      <c r="D38" s="4" t="str">
        <f>IF($C38="","",IFERROR(VLOOKUP($C38,'Test Case Catalogue'!$A$6:$M$90,2,FALSE),""))</f>
        <v/>
      </c>
      <c r="E38" s="4" t="str">
        <f>IF($C38="","",IFERROR(VLOOKUP($C38,'Test Case Catalogue'!$A$6:$M$90,4,FALSE),""))</f>
        <v/>
      </c>
      <c r="F38" s="4" t="str">
        <f>IF($C38="","",IFERROR(VLOOKUP($C38,'Test Case Catalogue'!$A$6:$M$90,9,FALSE),""))</f>
        <v/>
      </c>
      <c r="G38" s="4" t="str">
        <f>IF($C38="","",IFERROR(VLOOKUP($C38,'Test Case Catalogue'!$A$6:$M$90,10,FALSE),""))</f>
        <v/>
      </c>
      <c r="H38" s="4"/>
      <c r="I38" s="4"/>
      <c r="J38" s="8"/>
      <c r="K38" s="4"/>
      <c r="L38" s="4"/>
      <c r="M38" s="4"/>
      <c r="N38" s="4"/>
      <c r="O38" s="4"/>
    </row>
    <row r="39" spans="1:15" ht="58.05" customHeight="1">
      <c r="A39" s="4"/>
      <c r="B39" s="4"/>
      <c r="C39" s="4"/>
      <c r="D39" s="4" t="str">
        <f>IF($C39="","",IFERROR(VLOOKUP($C39,'Test Case Catalogue'!$A$6:$M$90,2,FALSE),""))</f>
        <v/>
      </c>
      <c r="E39" s="4" t="str">
        <f>IF($C39="","",IFERROR(VLOOKUP($C39,'Test Case Catalogue'!$A$6:$M$90,4,FALSE),""))</f>
        <v/>
      </c>
      <c r="F39" s="4" t="str">
        <f>IF($C39="","",IFERROR(VLOOKUP($C39,'Test Case Catalogue'!$A$6:$M$90,9,FALSE),""))</f>
        <v/>
      </c>
      <c r="G39" s="4" t="str">
        <f>IF($C39="","",IFERROR(VLOOKUP($C39,'Test Case Catalogue'!$A$6:$M$90,10,FALSE),""))</f>
        <v/>
      </c>
      <c r="H39" s="4"/>
      <c r="I39" s="4"/>
      <c r="J39" s="8"/>
      <c r="K39" s="4"/>
      <c r="L39" s="4"/>
      <c r="M39" s="4"/>
      <c r="N39" s="4"/>
      <c r="O39" s="4"/>
    </row>
    <row r="40" spans="1:15" ht="58.05" customHeight="1">
      <c r="A40" s="4"/>
      <c r="B40" s="4"/>
      <c r="C40" s="4"/>
      <c r="D40" s="4" t="str">
        <f>IF($C40="","",IFERROR(VLOOKUP($C40,'Test Case Catalogue'!$A$6:$M$90,2,FALSE),""))</f>
        <v/>
      </c>
      <c r="E40" s="4" t="str">
        <f>IF($C40="","",IFERROR(VLOOKUP($C40,'Test Case Catalogue'!$A$6:$M$90,4,FALSE),""))</f>
        <v/>
      </c>
      <c r="F40" s="4" t="str">
        <f>IF($C40="","",IFERROR(VLOOKUP($C40,'Test Case Catalogue'!$A$6:$M$90,9,FALSE),""))</f>
        <v/>
      </c>
      <c r="G40" s="4" t="str">
        <f>IF($C40="","",IFERROR(VLOOKUP($C40,'Test Case Catalogue'!$A$6:$M$90,10,FALSE),""))</f>
        <v/>
      </c>
      <c r="H40" s="4"/>
      <c r="I40" s="4"/>
      <c r="J40" s="8"/>
      <c r="K40" s="4"/>
      <c r="L40" s="4"/>
      <c r="M40" s="4"/>
      <c r="N40" s="4"/>
      <c r="O40" s="4"/>
    </row>
    <row r="41" spans="1:15" ht="58.05" customHeight="1">
      <c r="A41" s="4"/>
      <c r="B41" s="4"/>
      <c r="C41" s="4"/>
      <c r="D41" s="4" t="str">
        <f>IF($C41="","",IFERROR(VLOOKUP($C41,'Test Case Catalogue'!$A$6:$M$90,2,FALSE),""))</f>
        <v/>
      </c>
      <c r="E41" s="4" t="str">
        <f>IF($C41="","",IFERROR(VLOOKUP($C41,'Test Case Catalogue'!$A$6:$M$90,4,FALSE),""))</f>
        <v/>
      </c>
      <c r="F41" s="4" t="str">
        <f>IF($C41="","",IFERROR(VLOOKUP($C41,'Test Case Catalogue'!$A$6:$M$90,9,FALSE),""))</f>
        <v/>
      </c>
      <c r="G41" s="4" t="str">
        <f>IF($C41="","",IFERROR(VLOOKUP($C41,'Test Case Catalogue'!$A$6:$M$90,10,FALSE),""))</f>
        <v/>
      </c>
      <c r="H41" s="4"/>
      <c r="I41" s="4"/>
      <c r="J41" s="8"/>
      <c r="K41" s="4"/>
      <c r="L41" s="4"/>
      <c r="M41" s="4"/>
      <c r="N41" s="4"/>
      <c r="O41" s="4"/>
    </row>
    <row r="42" spans="1:15" ht="58.05" customHeight="1">
      <c r="A42" s="4"/>
      <c r="B42" s="4"/>
      <c r="C42" s="4"/>
      <c r="D42" s="4" t="str">
        <f>IF($C42="","",IFERROR(VLOOKUP($C42,'Test Case Catalogue'!$A$6:$M$90,2,FALSE),""))</f>
        <v/>
      </c>
      <c r="E42" s="4" t="str">
        <f>IF($C42="","",IFERROR(VLOOKUP($C42,'Test Case Catalogue'!$A$6:$M$90,4,FALSE),""))</f>
        <v/>
      </c>
      <c r="F42" s="4" t="str">
        <f>IF($C42="","",IFERROR(VLOOKUP($C42,'Test Case Catalogue'!$A$6:$M$90,9,FALSE),""))</f>
        <v/>
      </c>
      <c r="G42" s="4" t="str">
        <f>IF($C42="","",IFERROR(VLOOKUP($C42,'Test Case Catalogue'!$A$6:$M$90,10,FALSE),""))</f>
        <v/>
      </c>
      <c r="H42" s="4"/>
      <c r="I42" s="4"/>
      <c r="J42" s="8"/>
      <c r="K42" s="4"/>
      <c r="L42" s="4"/>
      <c r="M42" s="4"/>
      <c r="N42" s="4"/>
      <c r="O42" s="4"/>
    </row>
    <row r="43" spans="1:15" ht="58.05" customHeight="1">
      <c r="A43" s="4"/>
      <c r="B43" s="4"/>
      <c r="C43" s="4"/>
      <c r="D43" s="4" t="str">
        <f>IF($C43="","",IFERROR(VLOOKUP($C43,'Test Case Catalogue'!$A$6:$M$90,2,FALSE),""))</f>
        <v/>
      </c>
      <c r="E43" s="4" t="str">
        <f>IF($C43="","",IFERROR(VLOOKUP($C43,'Test Case Catalogue'!$A$6:$M$90,4,FALSE),""))</f>
        <v/>
      </c>
      <c r="F43" s="4" t="str">
        <f>IF($C43="","",IFERROR(VLOOKUP($C43,'Test Case Catalogue'!$A$6:$M$90,9,FALSE),""))</f>
        <v/>
      </c>
      <c r="G43" s="4" t="str">
        <f>IF($C43="","",IFERROR(VLOOKUP($C43,'Test Case Catalogue'!$A$6:$M$90,10,FALSE),""))</f>
        <v/>
      </c>
      <c r="H43" s="4"/>
      <c r="I43" s="4"/>
      <c r="J43" s="8"/>
      <c r="K43" s="4"/>
      <c r="L43" s="4"/>
      <c r="M43" s="4"/>
      <c r="N43" s="4"/>
      <c r="O43" s="4"/>
    </row>
    <row r="44" spans="1:15" ht="58.05" customHeight="1">
      <c r="A44" s="4"/>
      <c r="B44" s="4"/>
      <c r="C44" s="4"/>
      <c r="D44" s="4" t="str">
        <f>IF($C44="","",IFERROR(VLOOKUP($C44,'Test Case Catalogue'!$A$6:$M$90,2,FALSE),""))</f>
        <v/>
      </c>
      <c r="E44" s="4" t="str">
        <f>IF($C44="","",IFERROR(VLOOKUP($C44,'Test Case Catalogue'!$A$6:$M$90,4,FALSE),""))</f>
        <v/>
      </c>
      <c r="F44" s="4" t="str">
        <f>IF($C44="","",IFERROR(VLOOKUP($C44,'Test Case Catalogue'!$A$6:$M$90,9,FALSE),""))</f>
        <v/>
      </c>
      <c r="G44" s="4" t="str">
        <f>IF($C44="","",IFERROR(VLOOKUP($C44,'Test Case Catalogue'!$A$6:$M$90,10,FALSE),""))</f>
        <v/>
      </c>
      <c r="H44" s="4"/>
      <c r="I44" s="4"/>
      <c r="J44" s="8"/>
      <c r="K44" s="4"/>
      <c r="L44" s="4"/>
      <c r="M44" s="4"/>
      <c r="N44" s="4"/>
      <c r="O44" s="4"/>
    </row>
    <row r="45" spans="1:15" ht="58.05" customHeight="1">
      <c r="A45" s="4"/>
      <c r="B45" s="4"/>
      <c r="C45" s="4"/>
      <c r="D45" s="4" t="str">
        <f>IF($C45="","",IFERROR(VLOOKUP($C45,'Test Case Catalogue'!$A$6:$M$90,2,FALSE),""))</f>
        <v/>
      </c>
      <c r="E45" s="4" t="str">
        <f>IF($C45="","",IFERROR(VLOOKUP($C45,'Test Case Catalogue'!$A$6:$M$90,4,FALSE),""))</f>
        <v/>
      </c>
      <c r="F45" s="4" t="str">
        <f>IF($C45="","",IFERROR(VLOOKUP($C45,'Test Case Catalogue'!$A$6:$M$90,9,FALSE),""))</f>
        <v/>
      </c>
      <c r="G45" s="4" t="str">
        <f>IF($C45="","",IFERROR(VLOOKUP($C45,'Test Case Catalogue'!$A$6:$M$90,10,FALSE),""))</f>
        <v/>
      </c>
      <c r="H45" s="4"/>
      <c r="I45" s="4"/>
      <c r="J45" s="8"/>
      <c r="K45" s="4"/>
      <c r="L45" s="4"/>
      <c r="M45" s="4"/>
      <c r="N45" s="4"/>
      <c r="O45" s="4"/>
    </row>
    <row r="46" spans="1:15" ht="58.05" customHeight="1">
      <c r="A46" s="4"/>
      <c r="B46" s="4"/>
      <c r="C46" s="4"/>
      <c r="D46" s="4" t="str">
        <f>IF($C46="","",IFERROR(VLOOKUP($C46,'Test Case Catalogue'!$A$6:$M$90,2,FALSE),""))</f>
        <v/>
      </c>
      <c r="E46" s="4" t="str">
        <f>IF($C46="","",IFERROR(VLOOKUP($C46,'Test Case Catalogue'!$A$6:$M$90,4,FALSE),""))</f>
        <v/>
      </c>
      <c r="F46" s="4" t="str">
        <f>IF($C46="","",IFERROR(VLOOKUP($C46,'Test Case Catalogue'!$A$6:$M$90,9,FALSE),""))</f>
        <v/>
      </c>
      <c r="G46" s="4" t="str">
        <f>IF($C46="","",IFERROR(VLOOKUP($C46,'Test Case Catalogue'!$A$6:$M$90,10,FALSE),""))</f>
        <v/>
      </c>
      <c r="H46" s="4"/>
      <c r="I46" s="4"/>
      <c r="J46" s="8"/>
      <c r="K46" s="4"/>
      <c r="L46" s="4"/>
      <c r="M46" s="4"/>
      <c r="N46" s="4"/>
      <c r="O46" s="4"/>
    </row>
    <row r="47" spans="1:15" ht="58.05" customHeight="1">
      <c r="A47" s="4"/>
      <c r="B47" s="4"/>
      <c r="C47" s="4"/>
      <c r="D47" s="4" t="str">
        <f>IF($C47="","",IFERROR(VLOOKUP($C47,'Test Case Catalogue'!$A$6:$M$90,2,FALSE),""))</f>
        <v/>
      </c>
      <c r="E47" s="4" t="str">
        <f>IF($C47="","",IFERROR(VLOOKUP($C47,'Test Case Catalogue'!$A$6:$M$90,4,FALSE),""))</f>
        <v/>
      </c>
      <c r="F47" s="4" t="str">
        <f>IF($C47="","",IFERROR(VLOOKUP($C47,'Test Case Catalogue'!$A$6:$M$90,9,FALSE),""))</f>
        <v/>
      </c>
      <c r="G47" s="4" t="str">
        <f>IF($C47="","",IFERROR(VLOOKUP($C47,'Test Case Catalogue'!$A$6:$M$90,10,FALSE),""))</f>
        <v/>
      </c>
      <c r="H47" s="4"/>
      <c r="I47" s="4"/>
      <c r="J47" s="8"/>
      <c r="K47" s="4"/>
      <c r="L47" s="4"/>
      <c r="M47" s="4"/>
      <c r="N47" s="4"/>
      <c r="O47" s="4"/>
    </row>
    <row r="48" spans="1:15" ht="58.05" customHeight="1">
      <c r="A48" s="4"/>
      <c r="B48" s="4"/>
      <c r="C48" s="4"/>
      <c r="D48" s="4" t="str">
        <f>IF($C48="","",IFERROR(VLOOKUP($C48,'Test Case Catalogue'!$A$6:$M$90,2,FALSE),""))</f>
        <v/>
      </c>
      <c r="E48" s="4" t="str">
        <f>IF($C48="","",IFERROR(VLOOKUP($C48,'Test Case Catalogue'!$A$6:$M$90,4,FALSE),""))</f>
        <v/>
      </c>
      <c r="F48" s="4" t="str">
        <f>IF($C48="","",IFERROR(VLOOKUP($C48,'Test Case Catalogue'!$A$6:$M$90,9,FALSE),""))</f>
        <v/>
      </c>
      <c r="G48" s="4" t="str">
        <f>IF($C48="","",IFERROR(VLOOKUP($C48,'Test Case Catalogue'!$A$6:$M$90,10,FALSE),""))</f>
        <v/>
      </c>
      <c r="H48" s="4"/>
      <c r="I48" s="4"/>
      <c r="J48" s="8"/>
      <c r="K48" s="4"/>
      <c r="L48" s="4"/>
      <c r="M48" s="4"/>
      <c r="N48" s="4"/>
      <c r="O48" s="4"/>
    </row>
    <row r="49" spans="1:15" ht="58.05" customHeight="1">
      <c r="A49" s="4"/>
      <c r="B49" s="4"/>
      <c r="C49" s="4"/>
      <c r="D49" s="4" t="str">
        <f>IF($C49="","",IFERROR(VLOOKUP($C49,'Test Case Catalogue'!$A$6:$M$90,2,FALSE),""))</f>
        <v/>
      </c>
      <c r="E49" s="4" t="str">
        <f>IF($C49="","",IFERROR(VLOOKUP($C49,'Test Case Catalogue'!$A$6:$M$90,4,FALSE),""))</f>
        <v/>
      </c>
      <c r="F49" s="4" t="str">
        <f>IF($C49="","",IFERROR(VLOOKUP($C49,'Test Case Catalogue'!$A$6:$M$90,9,FALSE),""))</f>
        <v/>
      </c>
      <c r="G49" s="4" t="str">
        <f>IF($C49="","",IFERROR(VLOOKUP($C49,'Test Case Catalogue'!$A$6:$M$90,10,FALSE),""))</f>
        <v/>
      </c>
      <c r="H49" s="4"/>
      <c r="I49" s="4"/>
      <c r="J49" s="8"/>
      <c r="K49" s="4"/>
      <c r="L49" s="4"/>
      <c r="M49" s="4"/>
      <c r="N49" s="4"/>
      <c r="O49" s="4"/>
    </row>
    <row r="50" spans="1:15" ht="58.05" customHeight="1">
      <c r="A50" s="4"/>
      <c r="B50" s="4"/>
      <c r="C50" s="4"/>
      <c r="D50" s="4" t="str">
        <f>IF($C50="","",IFERROR(VLOOKUP($C50,'Test Case Catalogue'!$A$6:$M$90,2,FALSE),""))</f>
        <v/>
      </c>
      <c r="E50" s="4" t="str">
        <f>IF($C50="","",IFERROR(VLOOKUP($C50,'Test Case Catalogue'!$A$6:$M$90,4,FALSE),""))</f>
        <v/>
      </c>
      <c r="F50" s="4" t="str">
        <f>IF($C50="","",IFERROR(VLOOKUP($C50,'Test Case Catalogue'!$A$6:$M$90,9,FALSE),""))</f>
        <v/>
      </c>
      <c r="G50" s="4" t="str">
        <f>IF($C50="","",IFERROR(VLOOKUP($C50,'Test Case Catalogue'!$A$6:$M$90,10,FALSE),""))</f>
        <v/>
      </c>
      <c r="H50" s="4"/>
      <c r="I50" s="4"/>
      <c r="J50" s="8"/>
      <c r="K50" s="4"/>
      <c r="L50" s="4"/>
      <c r="M50" s="4"/>
      <c r="N50" s="4"/>
      <c r="O50" s="4"/>
    </row>
    <row r="51" spans="1:15" ht="58.05" customHeight="1">
      <c r="A51" s="4"/>
      <c r="B51" s="4"/>
      <c r="C51" s="4"/>
      <c r="D51" s="4" t="str">
        <f>IF($C51="","",IFERROR(VLOOKUP($C51,'Test Case Catalogue'!$A$6:$M$90,2,FALSE),""))</f>
        <v/>
      </c>
      <c r="E51" s="4" t="str">
        <f>IF($C51="","",IFERROR(VLOOKUP($C51,'Test Case Catalogue'!$A$6:$M$90,4,FALSE),""))</f>
        <v/>
      </c>
      <c r="F51" s="4" t="str">
        <f>IF($C51="","",IFERROR(VLOOKUP($C51,'Test Case Catalogue'!$A$6:$M$90,9,FALSE),""))</f>
        <v/>
      </c>
      <c r="G51" s="4" t="str">
        <f>IF($C51="","",IFERROR(VLOOKUP($C51,'Test Case Catalogue'!$A$6:$M$90,10,FALSE),""))</f>
        <v/>
      </c>
      <c r="H51" s="4"/>
      <c r="I51" s="4"/>
      <c r="J51" s="8"/>
      <c r="K51" s="4"/>
      <c r="L51" s="4"/>
      <c r="M51" s="4"/>
      <c r="N51" s="4"/>
      <c r="O51" s="4"/>
    </row>
    <row r="52" spans="1:15" ht="58.05" customHeight="1">
      <c r="A52" s="4"/>
      <c r="B52" s="4"/>
      <c r="C52" s="4"/>
      <c r="D52" s="4" t="str">
        <f>IF($C52="","",IFERROR(VLOOKUP($C52,'Test Case Catalogue'!$A$6:$M$90,2,FALSE),""))</f>
        <v/>
      </c>
      <c r="E52" s="4" t="str">
        <f>IF($C52="","",IFERROR(VLOOKUP($C52,'Test Case Catalogue'!$A$6:$M$90,4,FALSE),""))</f>
        <v/>
      </c>
      <c r="F52" s="4" t="str">
        <f>IF($C52="","",IFERROR(VLOOKUP($C52,'Test Case Catalogue'!$A$6:$M$90,9,FALSE),""))</f>
        <v/>
      </c>
      <c r="G52" s="4" t="str">
        <f>IF($C52="","",IFERROR(VLOOKUP($C52,'Test Case Catalogue'!$A$6:$M$90,10,FALSE),""))</f>
        <v/>
      </c>
      <c r="H52" s="4"/>
      <c r="I52" s="4"/>
      <c r="J52" s="8"/>
      <c r="K52" s="4"/>
      <c r="L52" s="4"/>
      <c r="M52" s="4"/>
      <c r="N52" s="4"/>
      <c r="O52" s="4"/>
    </row>
    <row r="53" spans="1:15" ht="58.05" customHeight="1">
      <c r="A53" s="4"/>
      <c r="B53" s="4"/>
      <c r="C53" s="4"/>
      <c r="D53" s="4" t="str">
        <f>IF($C53="","",IFERROR(VLOOKUP($C53,'Test Case Catalogue'!$A$6:$M$90,2,FALSE),""))</f>
        <v/>
      </c>
      <c r="E53" s="4" t="str">
        <f>IF($C53="","",IFERROR(VLOOKUP($C53,'Test Case Catalogue'!$A$6:$M$90,4,FALSE),""))</f>
        <v/>
      </c>
      <c r="F53" s="4" t="str">
        <f>IF($C53="","",IFERROR(VLOOKUP($C53,'Test Case Catalogue'!$A$6:$M$90,9,FALSE),""))</f>
        <v/>
      </c>
      <c r="G53" s="4" t="str">
        <f>IF($C53="","",IFERROR(VLOOKUP($C53,'Test Case Catalogue'!$A$6:$M$90,10,FALSE),""))</f>
        <v/>
      </c>
      <c r="H53" s="4"/>
      <c r="I53" s="4"/>
      <c r="J53" s="8"/>
      <c r="K53" s="4"/>
      <c r="L53" s="4"/>
      <c r="M53" s="4"/>
      <c r="N53" s="4"/>
      <c r="O53" s="4"/>
    </row>
    <row r="54" spans="1:15" ht="58.05" customHeight="1">
      <c r="A54" s="4"/>
      <c r="B54" s="4"/>
      <c r="C54" s="4"/>
      <c r="D54" s="4" t="str">
        <f>IF($C54="","",IFERROR(VLOOKUP($C54,'Test Case Catalogue'!$A$6:$M$90,2,FALSE),""))</f>
        <v/>
      </c>
      <c r="E54" s="4" t="str">
        <f>IF($C54="","",IFERROR(VLOOKUP($C54,'Test Case Catalogue'!$A$6:$M$90,4,FALSE),""))</f>
        <v/>
      </c>
      <c r="F54" s="4" t="str">
        <f>IF($C54="","",IFERROR(VLOOKUP($C54,'Test Case Catalogue'!$A$6:$M$90,9,FALSE),""))</f>
        <v/>
      </c>
      <c r="G54" s="4" t="str">
        <f>IF($C54="","",IFERROR(VLOOKUP($C54,'Test Case Catalogue'!$A$6:$M$90,10,FALSE),""))</f>
        <v/>
      </c>
      <c r="H54" s="4"/>
      <c r="I54" s="4"/>
      <c r="J54" s="8"/>
      <c r="K54" s="4"/>
      <c r="L54" s="4"/>
      <c r="M54" s="4"/>
      <c r="N54" s="4"/>
      <c r="O54" s="4"/>
    </row>
    <row r="55" spans="1:15" ht="58.05" customHeight="1">
      <c r="A55" s="4"/>
      <c r="B55" s="4"/>
      <c r="C55" s="4"/>
      <c r="D55" s="4" t="str">
        <f>IF($C55="","",IFERROR(VLOOKUP($C55,'Test Case Catalogue'!$A$6:$M$90,2,FALSE),""))</f>
        <v/>
      </c>
      <c r="E55" s="4" t="str">
        <f>IF($C55="","",IFERROR(VLOOKUP($C55,'Test Case Catalogue'!$A$6:$M$90,4,FALSE),""))</f>
        <v/>
      </c>
      <c r="F55" s="4" t="str">
        <f>IF($C55="","",IFERROR(VLOOKUP($C55,'Test Case Catalogue'!$A$6:$M$90,9,FALSE),""))</f>
        <v/>
      </c>
      <c r="G55" s="4" t="str">
        <f>IF($C55="","",IFERROR(VLOOKUP($C55,'Test Case Catalogue'!$A$6:$M$90,10,FALSE),""))</f>
        <v/>
      </c>
      <c r="H55" s="4"/>
      <c r="I55" s="4"/>
      <c r="J55" s="8"/>
      <c r="K55" s="4"/>
      <c r="L55" s="4"/>
      <c r="M55" s="4"/>
      <c r="N55" s="4"/>
      <c r="O55" s="4"/>
    </row>
    <row r="56" spans="1:15" ht="58.05" customHeight="1">
      <c r="A56" s="4"/>
      <c r="B56" s="4"/>
      <c r="C56" s="4"/>
      <c r="D56" s="4" t="str">
        <f>IF($C56="","",IFERROR(VLOOKUP($C56,'Test Case Catalogue'!$A$6:$M$90,2,FALSE),""))</f>
        <v/>
      </c>
      <c r="E56" s="4" t="str">
        <f>IF($C56="","",IFERROR(VLOOKUP($C56,'Test Case Catalogue'!$A$6:$M$90,4,FALSE),""))</f>
        <v/>
      </c>
      <c r="F56" s="4" t="str">
        <f>IF($C56="","",IFERROR(VLOOKUP($C56,'Test Case Catalogue'!$A$6:$M$90,9,FALSE),""))</f>
        <v/>
      </c>
      <c r="G56" s="4" t="str">
        <f>IF($C56="","",IFERROR(VLOOKUP($C56,'Test Case Catalogue'!$A$6:$M$90,10,FALSE),""))</f>
        <v/>
      </c>
      <c r="H56" s="4"/>
      <c r="I56" s="4"/>
      <c r="J56" s="8"/>
      <c r="K56" s="4"/>
      <c r="L56" s="4"/>
      <c r="M56" s="4"/>
      <c r="N56" s="4"/>
      <c r="O56" s="4"/>
    </row>
    <row r="57" spans="1:15" ht="58.05" customHeight="1">
      <c r="A57" s="4"/>
      <c r="B57" s="4"/>
      <c r="C57" s="4"/>
      <c r="D57" s="4" t="str">
        <f>IF($C57="","",IFERROR(VLOOKUP($C57,'Test Case Catalogue'!$A$6:$M$90,2,FALSE),""))</f>
        <v/>
      </c>
      <c r="E57" s="4" t="str">
        <f>IF($C57="","",IFERROR(VLOOKUP($C57,'Test Case Catalogue'!$A$6:$M$90,4,FALSE),""))</f>
        <v/>
      </c>
      <c r="F57" s="4" t="str">
        <f>IF($C57="","",IFERROR(VLOOKUP($C57,'Test Case Catalogue'!$A$6:$M$90,9,FALSE),""))</f>
        <v/>
      </c>
      <c r="G57" s="4" t="str">
        <f>IF($C57="","",IFERROR(VLOOKUP($C57,'Test Case Catalogue'!$A$6:$M$90,10,FALSE),""))</f>
        <v/>
      </c>
      <c r="H57" s="4"/>
      <c r="I57" s="4"/>
      <c r="J57" s="8"/>
      <c r="K57" s="4"/>
      <c r="L57" s="4"/>
      <c r="M57" s="4"/>
      <c r="N57" s="4"/>
      <c r="O57" s="4"/>
    </row>
    <row r="58" spans="1:15" ht="58.05" customHeight="1">
      <c r="A58" s="4"/>
      <c r="B58" s="4"/>
      <c r="C58" s="4"/>
      <c r="D58" s="4" t="str">
        <f>IF($C58="","",IFERROR(VLOOKUP($C58,'Test Case Catalogue'!$A$6:$M$90,2,FALSE),""))</f>
        <v/>
      </c>
      <c r="E58" s="4" t="str">
        <f>IF($C58="","",IFERROR(VLOOKUP($C58,'Test Case Catalogue'!$A$6:$M$90,4,FALSE),""))</f>
        <v/>
      </c>
      <c r="F58" s="4" t="str">
        <f>IF($C58="","",IFERROR(VLOOKUP($C58,'Test Case Catalogue'!$A$6:$M$90,9,FALSE),""))</f>
        <v/>
      </c>
      <c r="G58" s="4" t="str">
        <f>IF($C58="","",IFERROR(VLOOKUP($C58,'Test Case Catalogue'!$A$6:$M$90,10,FALSE),""))</f>
        <v/>
      </c>
      <c r="H58" s="4"/>
      <c r="I58" s="4"/>
      <c r="J58" s="8"/>
      <c r="K58" s="4"/>
      <c r="L58" s="4"/>
      <c r="M58" s="4"/>
      <c r="N58" s="4"/>
      <c r="O58" s="4"/>
    </row>
    <row r="59" spans="1:15" ht="58.05" customHeight="1">
      <c r="A59" s="4"/>
      <c r="B59" s="4"/>
      <c r="C59" s="4"/>
      <c r="D59" s="4" t="str">
        <f>IF($C59="","",IFERROR(VLOOKUP($C59,'Test Case Catalogue'!$A$6:$M$90,2,FALSE),""))</f>
        <v/>
      </c>
      <c r="E59" s="4" t="str">
        <f>IF($C59="","",IFERROR(VLOOKUP($C59,'Test Case Catalogue'!$A$6:$M$90,4,FALSE),""))</f>
        <v/>
      </c>
      <c r="F59" s="4" t="str">
        <f>IF($C59="","",IFERROR(VLOOKUP($C59,'Test Case Catalogue'!$A$6:$M$90,9,FALSE),""))</f>
        <v/>
      </c>
      <c r="G59" s="4" t="str">
        <f>IF($C59="","",IFERROR(VLOOKUP($C59,'Test Case Catalogue'!$A$6:$M$90,10,FALSE),""))</f>
        <v/>
      </c>
      <c r="H59" s="4"/>
      <c r="I59" s="4"/>
      <c r="J59" s="8"/>
      <c r="K59" s="4"/>
      <c r="L59" s="4"/>
      <c r="M59" s="4"/>
      <c r="N59" s="4"/>
      <c r="O59" s="4"/>
    </row>
    <row r="60" spans="1:15" ht="58.05" customHeight="1">
      <c r="A60" s="4"/>
      <c r="B60" s="4"/>
      <c r="C60" s="4"/>
      <c r="D60" s="4" t="str">
        <f>IF($C60="","",IFERROR(VLOOKUP($C60,'Test Case Catalogue'!$A$6:$M$90,2,FALSE),""))</f>
        <v/>
      </c>
      <c r="E60" s="4" t="str">
        <f>IF($C60="","",IFERROR(VLOOKUP($C60,'Test Case Catalogue'!$A$6:$M$90,4,FALSE),""))</f>
        <v/>
      </c>
      <c r="F60" s="4" t="str">
        <f>IF($C60="","",IFERROR(VLOOKUP($C60,'Test Case Catalogue'!$A$6:$M$90,9,FALSE),""))</f>
        <v/>
      </c>
      <c r="G60" s="4" t="str">
        <f>IF($C60="","",IFERROR(VLOOKUP($C60,'Test Case Catalogue'!$A$6:$M$90,10,FALSE),""))</f>
        <v/>
      </c>
      <c r="H60" s="4"/>
      <c r="I60" s="4"/>
      <c r="J60" s="8"/>
      <c r="K60" s="4"/>
      <c r="L60" s="4"/>
      <c r="M60" s="4"/>
      <c r="N60" s="4"/>
      <c r="O60" s="4"/>
    </row>
    <row r="61" spans="1:15" ht="58.05" customHeight="1">
      <c r="A61" s="4"/>
      <c r="B61" s="4"/>
      <c r="C61" s="4"/>
      <c r="D61" s="4" t="str">
        <f>IF($C61="","",IFERROR(VLOOKUP($C61,'Test Case Catalogue'!$A$6:$M$90,2,FALSE),""))</f>
        <v/>
      </c>
      <c r="E61" s="4" t="str">
        <f>IF($C61="","",IFERROR(VLOOKUP($C61,'Test Case Catalogue'!$A$6:$M$90,4,FALSE),""))</f>
        <v/>
      </c>
      <c r="F61" s="4" t="str">
        <f>IF($C61="","",IFERROR(VLOOKUP($C61,'Test Case Catalogue'!$A$6:$M$90,9,FALSE),""))</f>
        <v/>
      </c>
      <c r="G61" s="4" t="str">
        <f>IF($C61="","",IFERROR(VLOOKUP($C61,'Test Case Catalogue'!$A$6:$M$90,10,FALSE),""))</f>
        <v/>
      </c>
      <c r="H61" s="4"/>
      <c r="I61" s="4"/>
      <c r="J61" s="8"/>
      <c r="K61" s="4"/>
      <c r="L61" s="4"/>
      <c r="M61" s="4"/>
      <c r="N61" s="4"/>
      <c r="O61" s="4"/>
    </row>
    <row r="62" spans="1:15" ht="58.05" customHeight="1">
      <c r="A62" s="4"/>
      <c r="B62" s="4"/>
      <c r="C62" s="4"/>
      <c r="D62" s="4" t="str">
        <f>IF($C62="","",IFERROR(VLOOKUP($C62,'Test Case Catalogue'!$A$6:$M$90,2,FALSE),""))</f>
        <v/>
      </c>
      <c r="E62" s="4" t="str">
        <f>IF($C62="","",IFERROR(VLOOKUP($C62,'Test Case Catalogue'!$A$6:$M$90,4,FALSE),""))</f>
        <v/>
      </c>
      <c r="F62" s="4" t="str">
        <f>IF($C62="","",IFERROR(VLOOKUP($C62,'Test Case Catalogue'!$A$6:$M$90,9,FALSE),""))</f>
        <v/>
      </c>
      <c r="G62" s="4" t="str">
        <f>IF($C62="","",IFERROR(VLOOKUP($C62,'Test Case Catalogue'!$A$6:$M$90,10,FALSE),""))</f>
        <v/>
      </c>
      <c r="H62" s="4"/>
      <c r="I62" s="4"/>
      <c r="J62" s="8"/>
      <c r="K62" s="4"/>
      <c r="L62" s="4"/>
      <c r="M62" s="4"/>
      <c r="N62" s="4"/>
      <c r="O62" s="4"/>
    </row>
    <row r="63" spans="1:15" ht="58.05" customHeight="1">
      <c r="A63" s="4"/>
      <c r="B63" s="4"/>
      <c r="C63" s="4"/>
      <c r="D63" s="4" t="str">
        <f>IF($C63="","",IFERROR(VLOOKUP($C63,'Test Case Catalogue'!$A$6:$M$90,2,FALSE),""))</f>
        <v/>
      </c>
      <c r="E63" s="4" t="str">
        <f>IF($C63="","",IFERROR(VLOOKUP($C63,'Test Case Catalogue'!$A$6:$M$90,4,FALSE),""))</f>
        <v/>
      </c>
      <c r="F63" s="4" t="str">
        <f>IF($C63="","",IFERROR(VLOOKUP($C63,'Test Case Catalogue'!$A$6:$M$90,9,FALSE),""))</f>
        <v/>
      </c>
      <c r="G63" s="4" t="str">
        <f>IF($C63="","",IFERROR(VLOOKUP($C63,'Test Case Catalogue'!$A$6:$M$90,10,FALSE),""))</f>
        <v/>
      </c>
      <c r="H63" s="4"/>
      <c r="I63" s="4"/>
      <c r="J63" s="8"/>
      <c r="K63" s="4"/>
      <c r="L63" s="4"/>
      <c r="M63" s="4"/>
      <c r="N63" s="4"/>
      <c r="O63" s="4"/>
    </row>
    <row r="64" spans="1:15" ht="58.05" customHeight="1">
      <c r="A64" s="4"/>
      <c r="B64" s="4"/>
      <c r="C64" s="4"/>
      <c r="D64" s="4" t="str">
        <f>IF($C64="","",IFERROR(VLOOKUP($C64,'Test Case Catalogue'!$A$6:$M$90,2,FALSE),""))</f>
        <v/>
      </c>
      <c r="E64" s="4" t="str">
        <f>IF($C64="","",IFERROR(VLOOKUP($C64,'Test Case Catalogue'!$A$6:$M$90,4,FALSE),""))</f>
        <v/>
      </c>
      <c r="F64" s="4" t="str">
        <f>IF($C64="","",IFERROR(VLOOKUP($C64,'Test Case Catalogue'!$A$6:$M$90,9,FALSE),""))</f>
        <v/>
      </c>
      <c r="G64" s="4" t="str">
        <f>IF($C64="","",IFERROR(VLOOKUP($C64,'Test Case Catalogue'!$A$6:$M$90,10,FALSE),""))</f>
        <v/>
      </c>
      <c r="H64" s="4"/>
      <c r="I64" s="4"/>
      <c r="J64" s="8"/>
      <c r="K64" s="4"/>
      <c r="L64" s="4"/>
      <c r="M64" s="4"/>
      <c r="N64" s="4"/>
      <c r="O64" s="4"/>
    </row>
    <row r="65" spans="1:15" ht="58.05" customHeight="1">
      <c r="A65" s="4"/>
      <c r="B65" s="4"/>
      <c r="C65" s="4"/>
      <c r="D65" s="4" t="str">
        <f>IF($C65="","",IFERROR(VLOOKUP($C65,'Test Case Catalogue'!$A$6:$M$90,2,FALSE),""))</f>
        <v/>
      </c>
      <c r="E65" s="4" t="str">
        <f>IF($C65="","",IFERROR(VLOOKUP($C65,'Test Case Catalogue'!$A$6:$M$90,4,FALSE),""))</f>
        <v/>
      </c>
      <c r="F65" s="4" t="str">
        <f>IF($C65="","",IFERROR(VLOOKUP($C65,'Test Case Catalogue'!$A$6:$M$90,9,FALSE),""))</f>
        <v/>
      </c>
      <c r="G65" s="4" t="str">
        <f>IF($C65="","",IFERROR(VLOOKUP($C65,'Test Case Catalogue'!$A$6:$M$90,10,FALSE),""))</f>
        <v/>
      </c>
      <c r="H65" s="4"/>
      <c r="I65" s="4"/>
      <c r="J65" s="8"/>
      <c r="K65" s="4"/>
      <c r="L65" s="4"/>
      <c r="M65" s="4"/>
      <c r="N65" s="4"/>
      <c r="O65" s="4"/>
    </row>
    <row r="66" spans="1:15" ht="58.05" customHeight="1">
      <c r="A66" s="4"/>
      <c r="B66" s="4"/>
      <c r="C66" s="4"/>
      <c r="D66" s="4" t="str">
        <f>IF($C66="","",IFERROR(VLOOKUP($C66,'Test Case Catalogue'!$A$6:$M$90,2,FALSE),""))</f>
        <v/>
      </c>
      <c r="E66" s="4" t="str">
        <f>IF($C66="","",IFERROR(VLOOKUP($C66,'Test Case Catalogue'!$A$6:$M$90,4,FALSE),""))</f>
        <v/>
      </c>
      <c r="F66" s="4" t="str">
        <f>IF($C66="","",IFERROR(VLOOKUP($C66,'Test Case Catalogue'!$A$6:$M$90,9,FALSE),""))</f>
        <v/>
      </c>
      <c r="G66" s="4" t="str">
        <f>IF($C66="","",IFERROR(VLOOKUP($C66,'Test Case Catalogue'!$A$6:$M$90,10,FALSE),""))</f>
        <v/>
      </c>
      <c r="H66" s="4"/>
      <c r="I66" s="4"/>
      <c r="J66" s="8"/>
      <c r="K66" s="4"/>
      <c r="L66" s="4"/>
      <c r="M66" s="4"/>
      <c r="N66" s="4"/>
      <c r="O66" s="4"/>
    </row>
    <row r="67" spans="1:15" ht="58.05" customHeight="1">
      <c r="A67" s="4"/>
      <c r="B67" s="4"/>
      <c r="C67" s="4"/>
      <c r="D67" s="4" t="str">
        <f>IF($C67="","",IFERROR(VLOOKUP($C67,'Test Case Catalogue'!$A$6:$M$90,2,FALSE),""))</f>
        <v/>
      </c>
      <c r="E67" s="4" t="str">
        <f>IF($C67="","",IFERROR(VLOOKUP($C67,'Test Case Catalogue'!$A$6:$M$90,4,FALSE),""))</f>
        <v/>
      </c>
      <c r="F67" s="4" t="str">
        <f>IF($C67="","",IFERROR(VLOOKUP($C67,'Test Case Catalogue'!$A$6:$M$90,9,FALSE),""))</f>
        <v/>
      </c>
      <c r="G67" s="4" t="str">
        <f>IF($C67="","",IFERROR(VLOOKUP($C67,'Test Case Catalogue'!$A$6:$M$90,10,FALSE),""))</f>
        <v/>
      </c>
      <c r="H67" s="4"/>
      <c r="I67" s="4"/>
      <c r="J67" s="8"/>
      <c r="K67" s="4"/>
      <c r="L67" s="4"/>
      <c r="M67" s="4"/>
      <c r="N67" s="4"/>
      <c r="O67" s="4"/>
    </row>
    <row r="68" spans="1:15" ht="58.05" customHeight="1">
      <c r="A68" s="4"/>
      <c r="B68" s="4"/>
      <c r="C68" s="4"/>
      <c r="D68" s="4" t="str">
        <f>IF($C68="","",IFERROR(VLOOKUP($C68,'Test Case Catalogue'!$A$6:$M$90,2,FALSE),""))</f>
        <v/>
      </c>
      <c r="E68" s="4" t="str">
        <f>IF($C68="","",IFERROR(VLOOKUP($C68,'Test Case Catalogue'!$A$6:$M$90,4,FALSE),""))</f>
        <v/>
      </c>
      <c r="F68" s="4" t="str">
        <f>IF($C68="","",IFERROR(VLOOKUP($C68,'Test Case Catalogue'!$A$6:$M$90,9,FALSE),""))</f>
        <v/>
      </c>
      <c r="G68" s="4" t="str">
        <f>IF($C68="","",IFERROR(VLOOKUP($C68,'Test Case Catalogue'!$A$6:$M$90,10,FALSE),""))</f>
        <v/>
      </c>
      <c r="H68" s="4"/>
      <c r="I68" s="4"/>
      <c r="J68" s="8"/>
      <c r="K68" s="4"/>
      <c r="L68" s="4"/>
      <c r="M68" s="4"/>
      <c r="N68" s="4"/>
      <c r="O68" s="4"/>
    </row>
    <row r="69" spans="1:15" ht="58.05" customHeight="1">
      <c r="A69" s="4"/>
      <c r="B69" s="4"/>
      <c r="C69" s="4"/>
      <c r="D69" s="4" t="str">
        <f>IF($C69="","",IFERROR(VLOOKUP($C69,'Test Case Catalogue'!$A$6:$M$90,2,FALSE),""))</f>
        <v/>
      </c>
      <c r="E69" s="4" t="str">
        <f>IF($C69="","",IFERROR(VLOOKUP($C69,'Test Case Catalogue'!$A$6:$M$90,4,FALSE),""))</f>
        <v/>
      </c>
      <c r="F69" s="4" t="str">
        <f>IF($C69="","",IFERROR(VLOOKUP($C69,'Test Case Catalogue'!$A$6:$M$90,9,FALSE),""))</f>
        <v/>
      </c>
      <c r="G69" s="4" t="str">
        <f>IF($C69="","",IFERROR(VLOOKUP($C69,'Test Case Catalogue'!$A$6:$M$90,10,FALSE),""))</f>
        <v/>
      </c>
      <c r="H69" s="4"/>
      <c r="I69" s="4"/>
      <c r="J69" s="8"/>
      <c r="K69" s="4"/>
      <c r="L69" s="4"/>
      <c r="M69" s="4"/>
      <c r="N69" s="4"/>
      <c r="O69" s="4"/>
    </row>
    <row r="70" spans="1:15" ht="58.05" customHeight="1">
      <c r="A70" s="4"/>
      <c r="B70" s="4"/>
      <c r="C70" s="4"/>
      <c r="D70" s="4" t="str">
        <f>IF($C70="","",IFERROR(VLOOKUP($C70,'Test Case Catalogue'!$A$6:$M$90,2,FALSE),""))</f>
        <v/>
      </c>
      <c r="E70" s="4" t="str">
        <f>IF($C70="","",IFERROR(VLOOKUP($C70,'Test Case Catalogue'!$A$6:$M$90,4,FALSE),""))</f>
        <v/>
      </c>
      <c r="F70" s="4" t="str">
        <f>IF($C70="","",IFERROR(VLOOKUP($C70,'Test Case Catalogue'!$A$6:$M$90,9,FALSE),""))</f>
        <v/>
      </c>
      <c r="G70" s="4" t="str">
        <f>IF($C70="","",IFERROR(VLOOKUP($C70,'Test Case Catalogue'!$A$6:$M$90,10,FALSE),""))</f>
        <v/>
      </c>
      <c r="H70" s="4"/>
      <c r="I70" s="4"/>
      <c r="J70" s="8"/>
      <c r="K70" s="4"/>
      <c r="L70" s="4"/>
      <c r="M70" s="4"/>
      <c r="N70" s="4"/>
      <c r="O70" s="4"/>
    </row>
    <row r="71" spans="1:15" ht="58.05" customHeight="1">
      <c r="A71" s="4"/>
      <c r="B71" s="4"/>
      <c r="C71" s="4"/>
      <c r="D71" s="4" t="str">
        <f>IF($C71="","",IFERROR(VLOOKUP($C71,'Test Case Catalogue'!$A$6:$M$90,2,FALSE),""))</f>
        <v/>
      </c>
      <c r="E71" s="4" t="str">
        <f>IF($C71="","",IFERROR(VLOOKUP($C71,'Test Case Catalogue'!$A$6:$M$90,4,FALSE),""))</f>
        <v/>
      </c>
      <c r="F71" s="4" t="str">
        <f>IF($C71="","",IFERROR(VLOOKUP($C71,'Test Case Catalogue'!$A$6:$M$90,9,FALSE),""))</f>
        <v/>
      </c>
      <c r="G71" s="4" t="str">
        <f>IF($C71="","",IFERROR(VLOOKUP($C71,'Test Case Catalogue'!$A$6:$M$90,10,FALSE),""))</f>
        <v/>
      </c>
      <c r="H71" s="4"/>
      <c r="I71" s="4"/>
      <c r="J71" s="8"/>
      <c r="K71" s="4"/>
      <c r="L71" s="4"/>
      <c r="M71" s="4"/>
      <c r="N71" s="4"/>
      <c r="O71" s="4"/>
    </row>
    <row r="72" spans="1:15" ht="58.05" customHeight="1">
      <c r="A72" s="4"/>
      <c r="B72" s="4"/>
      <c r="C72" s="4"/>
      <c r="D72" s="4" t="str">
        <f>IF($C72="","",IFERROR(VLOOKUP($C72,'Test Case Catalogue'!$A$6:$M$90,2,FALSE),""))</f>
        <v/>
      </c>
      <c r="E72" s="4" t="str">
        <f>IF($C72="","",IFERROR(VLOOKUP($C72,'Test Case Catalogue'!$A$6:$M$90,4,FALSE),""))</f>
        <v/>
      </c>
      <c r="F72" s="4" t="str">
        <f>IF($C72="","",IFERROR(VLOOKUP($C72,'Test Case Catalogue'!$A$6:$M$90,9,FALSE),""))</f>
        <v/>
      </c>
      <c r="G72" s="4" t="str">
        <f>IF($C72="","",IFERROR(VLOOKUP($C72,'Test Case Catalogue'!$A$6:$M$90,10,FALSE),""))</f>
        <v/>
      </c>
      <c r="H72" s="4"/>
      <c r="I72" s="4"/>
      <c r="J72" s="8"/>
      <c r="K72" s="4"/>
      <c r="L72" s="4"/>
      <c r="M72" s="4"/>
      <c r="N72" s="4"/>
      <c r="O72" s="4"/>
    </row>
    <row r="73" spans="1:15" ht="58.05" customHeight="1">
      <c r="A73" s="4"/>
      <c r="B73" s="4"/>
      <c r="C73" s="4"/>
      <c r="D73" s="4" t="str">
        <f>IF($C73="","",IFERROR(VLOOKUP($C73,'Test Case Catalogue'!$A$6:$M$90,2,FALSE),""))</f>
        <v/>
      </c>
      <c r="E73" s="4" t="str">
        <f>IF($C73="","",IFERROR(VLOOKUP($C73,'Test Case Catalogue'!$A$6:$M$90,4,FALSE),""))</f>
        <v/>
      </c>
      <c r="F73" s="4" t="str">
        <f>IF($C73="","",IFERROR(VLOOKUP($C73,'Test Case Catalogue'!$A$6:$M$90,9,FALSE),""))</f>
        <v/>
      </c>
      <c r="G73" s="4" t="str">
        <f>IF($C73="","",IFERROR(VLOOKUP($C73,'Test Case Catalogue'!$A$6:$M$90,10,FALSE),""))</f>
        <v/>
      </c>
      <c r="H73" s="4"/>
      <c r="I73" s="4"/>
      <c r="J73" s="8"/>
      <c r="K73" s="4"/>
      <c r="L73" s="4"/>
      <c r="M73" s="4"/>
      <c r="N73" s="4"/>
      <c r="O73" s="4"/>
    </row>
    <row r="74" spans="1:15" ht="58.05" customHeight="1">
      <c r="A74" s="4"/>
      <c r="B74" s="4"/>
      <c r="C74" s="4"/>
      <c r="D74" s="4" t="str">
        <f>IF($C74="","",IFERROR(VLOOKUP($C74,'Test Case Catalogue'!$A$6:$M$90,2,FALSE),""))</f>
        <v/>
      </c>
      <c r="E74" s="4" t="str">
        <f>IF($C74="","",IFERROR(VLOOKUP($C74,'Test Case Catalogue'!$A$6:$M$90,4,FALSE),""))</f>
        <v/>
      </c>
      <c r="F74" s="4" t="str">
        <f>IF($C74="","",IFERROR(VLOOKUP($C74,'Test Case Catalogue'!$A$6:$M$90,9,FALSE),""))</f>
        <v/>
      </c>
      <c r="G74" s="4" t="str">
        <f>IF($C74="","",IFERROR(VLOOKUP($C74,'Test Case Catalogue'!$A$6:$M$90,10,FALSE),""))</f>
        <v/>
      </c>
      <c r="H74" s="4"/>
      <c r="I74" s="4"/>
      <c r="J74" s="8"/>
      <c r="K74" s="4"/>
      <c r="L74" s="4"/>
      <c r="M74" s="4"/>
      <c r="N74" s="4"/>
      <c r="O74" s="4"/>
    </row>
    <row r="75" spans="1:15" ht="58.05" customHeight="1">
      <c r="A75" s="4"/>
      <c r="B75" s="4"/>
      <c r="C75" s="4"/>
      <c r="D75" s="4" t="str">
        <f>IF($C75="","",IFERROR(VLOOKUP($C75,'Test Case Catalogue'!$A$6:$M$90,2,FALSE),""))</f>
        <v/>
      </c>
      <c r="E75" s="4" t="str">
        <f>IF($C75="","",IFERROR(VLOOKUP($C75,'Test Case Catalogue'!$A$6:$M$90,4,FALSE),""))</f>
        <v/>
      </c>
      <c r="F75" s="4" t="str">
        <f>IF($C75="","",IFERROR(VLOOKUP($C75,'Test Case Catalogue'!$A$6:$M$90,9,FALSE),""))</f>
        <v/>
      </c>
      <c r="G75" s="4" t="str">
        <f>IF($C75="","",IFERROR(VLOOKUP($C75,'Test Case Catalogue'!$A$6:$M$90,10,FALSE),""))</f>
        <v/>
      </c>
      <c r="H75" s="4"/>
      <c r="I75" s="4"/>
      <c r="J75" s="8"/>
      <c r="K75" s="4"/>
      <c r="L75" s="4"/>
      <c r="M75" s="4"/>
      <c r="N75" s="4"/>
      <c r="O75" s="4"/>
    </row>
    <row r="76" spans="1:15" ht="58.05" customHeight="1">
      <c r="A76" s="4"/>
      <c r="B76" s="4"/>
      <c r="C76" s="4"/>
      <c r="D76" s="4" t="str">
        <f>IF($C76="","",IFERROR(VLOOKUP($C76,'Test Case Catalogue'!$A$6:$M$90,2,FALSE),""))</f>
        <v/>
      </c>
      <c r="E76" s="4" t="str">
        <f>IF($C76="","",IFERROR(VLOOKUP($C76,'Test Case Catalogue'!$A$6:$M$90,4,FALSE),""))</f>
        <v/>
      </c>
      <c r="F76" s="4" t="str">
        <f>IF($C76="","",IFERROR(VLOOKUP($C76,'Test Case Catalogue'!$A$6:$M$90,9,FALSE),""))</f>
        <v/>
      </c>
      <c r="G76" s="4" t="str">
        <f>IF($C76="","",IFERROR(VLOOKUP($C76,'Test Case Catalogue'!$A$6:$M$90,10,FALSE),""))</f>
        <v/>
      </c>
      <c r="H76" s="4"/>
      <c r="I76" s="4"/>
      <c r="J76" s="8"/>
      <c r="K76" s="4"/>
      <c r="L76" s="4"/>
      <c r="M76" s="4"/>
      <c r="N76" s="4"/>
      <c r="O76" s="4"/>
    </row>
    <row r="77" spans="1:15" ht="58.05" customHeight="1">
      <c r="A77" s="4"/>
      <c r="B77" s="4"/>
      <c r="C77" s="4"/>
      <c r="D77" s="4" t="str">
        <f>IF($C77="","",IFERROR(VLOOKUP($C77,'Test Case Catalogue'!$A$6:$M$90,2,FALSE),""))</f>
        <v/>
      </c>
      <c r="E77" s="4" t="str">
        <f>IF($C77="","",IFERROR(VLOOKUP($C77,'Test Case Catalogue'!$A$6:$M$90,4,FALSE),""))</f>
        <v/>
      </c>
      <c r="F77" s="4" t="str">
        <f>IF($C77="","",IFERROR(VLOOKUP($C77,'Test Case Catalogue'!$A$6:$M$90,9,FALSE),""))</f>
        <v/>
      </c>
      <c r="G77" s="4" t="str">
        <f>IF($C77="","",IFERROR(VLOOKUP($C77,'Test Case Catalogue'!$A$6:$M$90,10,FALSE),""))</f>
        <v/>
      </c>
      <c r="H77" s="4"/>
      <c r="I77" s="4"/>
      <c r="J77" s="8"/>
      <c r="K77" s="4"/>
      <c r="L77" s="4"/>
      <c r="M77" s="4"/>
      <c r="N77" s="4"/>
      <c r="O77" s="4"/>
    </row>
    <row r="78" spans="1:15" ht="58.05" customHeight="1">
      <c r="A78" s="4"/>
      <c r="B78" s="4"/>
      <c r="C78" s="4"/>
      <c r="D78" s="4" t="str">
        <f>IF($C78="","",IFERROR(VLOOKUP($C78,'Test Case Catalogue'!$A$6:$M$90,2,FALSE),""))</f>
        <v/>
      </c>
      <c r="E78" s="4" t="str">
        <f>IF($C78="","",IFERROR(VLOOKUP($C78,'Test Case Catalogue'!$A$6:$M$90,4,FALSE),""))</f>
        <v/>
      </c>
      <c r="F78" s="4" t="str">
        <f>IF($C78="","",IFERROR(VLOOKUP($C78,'Test Case Catalogue'!$A$6:$M$90,9,FALSE),""))</f>
        <v/>
      </c>
      <c r="G78" s="4" t="str">
        <f>IF($C78="","",IFERROR(VLOOKUP($C78,'Test Case Catalogue'!$A$6:$M$90,10,FALSE),""))</f>
        <v/>
      </c>
      <c r="H78" s="4"/>
      <c r="I78" s="4"/>
      <c r="J78" s="8"/>
      <c r="K78" s="4"/>
      <c r="L78" s="4"/>
      <c r="M78" s="4"/>
      <c r="N78" s="4"/>
      <c r="O78" s="4"/>
    </row>
    <row r="79" spans="1:15" ht="58.05" customHeight="1">
      <c r="A79" s="4"/>
      <c r="B79" s="4"/>
      <c r="C79" s="4"/>
      <c r="D79" s="4" t="str">
        <f>IF($C79="","",IFERROR(VLOOKUP($C79,'Test Case Catalogue'!$A$6:$M$90,2,FALSE),""))</f>
        <v/>
      </c>
      <c r="E79" s="4" t="str">
        <f>IF($C79="","",IFERROR(VLOOKUP($C79,'Test Case Catalogue'!$A$6:$M$90,4,FALSE),""))</f>
        <v/>
      </c>
      <c r="F79" s="4" t="str">
        <f>IF($C79="","",IFERROR(VLOOKUP($C79,'Test Case Catalogue'!$A$6:$M$90,9,FALSE),""))</f>
        <v/>
      </c>
      <c r="G79" s="4" t="str">
        <f>IF($C79="","",IFERROR(VLOOKUP($C79,'Test Case Catalogue'!$A$6:$M$90,10,FALSE),""))</f>
        <v/>
      </c>
      <c r="H79" s="4"/>
      <c r="I79" s="4"/>
      <c r="J79" s="8"/>
      <c r="K79" s="4"/>
      <c r="L79" s="4"/>
      <c r="M79" s="4"/>
      <c r="N79" s="4"/>
      <c r="O79" s="4"/>
    </row>
    <row r="80" spans="1:15" ht="58.05" customHeight="1">
      <c r="A80" s="4"/>
      <c r="B80" s="4"/>
      <c r="C80" s="4"/>
      <c r="D80" s="4" t="str">
        <f>IF($C80="","",IFERROR(VLOOKUP($C80,'Test Case Catalogue'!$A$6:$M$90,2,FALSE),""))</f>
        <v/>
      </c>
      <c r="E80" s="4" t="str">
        <f>IF($C80="","",IFERROR(VLOOKUP($C80,'Test Case Catalogue'!$A$6:$M$90,4,FALSE),""))</f>
        <v/>
      </c>
      <c r="F80" s="4" t="str">
        <f>IF($C80="","",IFERROR(VLOOKUP($C80,'Test Case Catalogue'!$A$6:$M$90,9,FALSE),""))</f>
        <v/>
      </c>
      <c r="G80" s="4" t="str">
        <f>IF($C80="","",IFERROR(VLOOKUP($C80,'Test Case Catalogue'!$A$6:$M$90,10,FALSE),""))</f>
        <v/>
      </c>
      <c r="H80" s="4"/>
      <c r="I80" s="4"/>
      <c r="J80" s="8"/>
      <c r="K80" s="4"/>
      <c r="L80" s="4"/>
      <c r="M80" s="4"/>
      <c r="N80" s="4"/>
      <c r="O80" s="4"/>
    </row>
    <row r="81" spans="1:15" ht="58.05" customHeight="1">
      <c r="A81" s="4"/>
      <c r="B81" s="4"/>
      <c r="C81" s="4"/>
      <c r="D81" s="4" t="str">
        <f>IF($C81="","",IFERROR(VLOOKUP($C81,'Test Case Catalogue'!$A$6:$M$90,2,FALSE),""))</f>
        <v/>
      </c>
      <c r="E81" s="4" t="str">
        <f>IF($C81="","",IFERROR(VLOOKUP($C81,'Test Case Catalogue'!$A$6:$M$90,4,FALSE),""))</f>
        <v/>
      </c>
      <c r="F81" s="4" t="str">
        <f>IF($C81="","",IFERROR(VLOOKUP($C81,'Test Case Catalogue'!$A$6:$M$90,9,FALSE),""))</f>
        <v/>
      </c>
      <c r="G81" s="4" t="str">
        <f>IF($C81="","",IFERROR(VLOOKUP($C81,'Test Case Catalogue'!$A$6:$M$90,10,FALSE),""))</f>
        <v/>
      </c>
      <c r="H81" s="4"/>
      <c r="I81" s="4"/>
      <c r="J81" s="8"/>
      <c r="K81" s="4"/>
      <c r="L81" s="4"/>
      <c r="M81" s="4"/>
      <c r="N81" s="4"/>
      <c r="O81" s="4"/>
    </row>
    <row r="82" spans="1:15" ht="58.05" customHeight="1">
      <c r="A82" s="4"/>
      <c r="B82" s="4"/>
      <c r="C82" s="4"/>
      <c r="D82" s="4" t="str">
        <f>IF($C82="","",IFERROR(VLOOKUP($C82,'Test Case Catalogue'!$A$6:$M$90,2,FALSE),""))</f>
        <v/>
      </c>
      <c r="E82" s="4" t="str">
        <f>IF($C82="","",IFERROR(VLOOKUP($C82,'Test Case Catalogue'!$A$6:$M$90,4,FALSE),""))</f>
        <v/>
      </c>
      <c r="F82" s="4" t="str">
        <f>IF($C82="","",IFERROR(VLOOKUP($C82,'Test Case Catalogue'!$A$6:$M$90,9,FALSE),""))</f>
        <v/>
      </c>
      <c r="G82" s="4" t="str">
        <f>IF($C82="","",IFERROR(VLOOKUP($C82,'Test Case Catalogue'!$A$6:$M$90,10,FALSE),""))</f>
        <v/>
      </c>
      <c r="H82" s="4"/>
      <c r="I82" s="4"/>
      <c r="J82" s="8"/>
      <c r="K82" s="4"/>
      <c r="L82" s="4"/>
      <c r="M82" s="4"/>
      <c r="N82" s="4"/>
      <c r="O82" s="4"/>
    </row>
    <row r="83" spans="1:15" ht="58.05" customHeight="1">
      <c r="A83" s="4"/>
      <c r="B83" s="4"/>
      <c r="C83" s="4"/>
      <c r="D83" s="4" t="str">
        <f>IF($C83="","",IFERROR(VLOOKUP($C83,'Test Case Catalogue'!$A$6:$M$90,2,FALSE),""))</f>
        <v/>
      </c>
      <c r="E83" s="4" t="str">
        <f>IF($C83="","",IFERROR(VLOOKUP($C83,'Test Case Catalogue'!$A$6:$M$90,4,FALSE),""))</f>
        <v/>
      </c>
      <c r="F83" s="4" t="str">
        <f>IF($C83="","",IFERROR(VLOOKUP($C83,'Test Case Catalogue'!$A$6:$M$90,9,FALSE),""))</f>
        <v/>
      </c>
      <c r="G83" s="4" t="str">
        <f>IF($C83="","",IFERROR(VLOOKUP($C83,'Test Case Catalogue'!$A$6:$M$90,10,FALSE),""))</f>
        <v/>
      </c>
      <c r="H83" s="4"/>
      <c r="I83" s="4"/>
      <c r="J83" s="8"/>
      <c r="K83" s="4"/>
      <c r="L83" s="4"/>
      <c r="M83" s="4"/>
      <c r="N83" s="4"/>
      <c r="O83" s="4"/>
    </row>
    <row r="84" spans="1:15" ht="58.05" customHeight="1">
      <c r="A84" s="4"/>
      <c r="B84" s="4"/>
      <c r="C84" s="4"/>
      <c r="D84" s="4" t="str">
        <f>IF($C84="","",IFERROR(VLOOKUP($C84,'Test Case Catalogue'!$A$6:$M$90,2,FALSE),""))</f>
        <v/>
      </c>
      <c r="E84" s="4" t="str">
        <f>IF($C84="","",IFERROR(VLOOKUP($C84,'Test Case Catalogue'!$A$6:$M$90,4,FALSE),""))</f>
        <v/>
      </c>
      <c r="F84" s="4" t="str">
        <f>IF($C84="","",IFERROR(VLOOKUP($C84,'Test Case Catalogue'!$A$6:$M$90,9,FALSE),""))</f>
        <v/>
      </c>
      <c r="G84" s="4" t="str">
        <f>IF($C84="","",IFERROR(VLOOKUP($C84,'Test Case Catalogue'!$A$6:$M$90,10,FALSE),""))</f>
        <v/>
      </c>
      <c r="H84" s="4"/>
      <c r="I84" s="4"/>
      <c r="J84" s="8"/>
      <c r="K84" s="4"/>
      <c r="L84" s="4"/>
      <c r="M84" s="4"/>
      <c r="N84" s="4"/>
      <c r="O84" s="4"/>
    </row>
    <row r="85" spans="1:15" ht="58.05" customHeight="1">
      <c r="A85" s="4"/>
      <c r="B85" s="4"/>
      <c r="C85" s="4"/>
      <c r="D85" s="4" t="str">
        <f>IF($C85="","",IFERROR(VLOOKUP($C85,'Test Case Catalogue'!$A$6:$M$90,2,FALSE),""))</f>
        <v/>
      </c>
      <c r="E85" s="4" t="str">
        <f>IF($C85="","",IFERROR(VLOOKUP($C85,'Test Case Catalogue'!$A$6:$M$90,4,FALSE),""))</f>
        <v/>
      </c>
      <c r="F85" s="4" t="str">
        <f>IF($C85="","",IFERROR(VLOOKUP($C85,'Test Case Catalogue'!$A$6:$M$90,9,FALSE),""))</f>
        <v/>
      </c>
      <c r="G85" s="4" t="str">
        <f>IF($C85="","",IFERROR(VLOOKUP($C85,'Test Case Catalogue'!$A$6:$M$90,10,FALSE),""))</f>
        <v/>
      </c>
      <c r="H85" s="4"/>
      <c r="I85" s="4"/>
      <c r="J85" s="8"/>
      <c r="K85" s="4"/>
      <c r="L85" s="4"/>
      <c r="M85" s="4"/>
      <c r="N85" s="4"/>
      <c r="O85" s="4"/>
    </row>
    <row r="86" spans="1:15" ht="58.05" customHeight="1">
      <c r="A86" s="4"/>
      <c r="B86" s="4"/>
      <c r="C86" s="4"/>
      <c r="D86" s="4" t="str">
        <f>IF($C86="","",IFERROR(VLOOKUP($C86,'Test Case Catalogue'!$A$6:$M$90,2,FALSE),""))</f>
        <v/>
      </c>
      <c r="E86" s="4" t="str">
        <f>IF($C86="","",IFERROR(VLOOKUP($C86,'Test Case Catalogue'!$A$6:$M$90,4,FALSE),""))</f>
        <v/>
      </c>
      <c r="F86" s="4" t="str">
        <f>IF($C86="","",IFERROR(VLOOKUP($C86,'Test Case Catalogue'!$A$6:$M$90,9,FALSE),""))</f>
        <v/>
      </c>
      <c r="G86" s="4" t="str">
        <f>IF($C86="","",IFERROR(VLOOKUP($C86,'Test Case Catalogue'!$A$6:$M$90,10,FALSE),""))</f>
        <v/>
      </c>
      <c r="H86" s="4"/>
      <c r="I86" s="4"/>
      <c r="J86" s="8"/>
      <c r="K86" s="4"/>
      <c r="L86" s="4"/>
      <c r="M86" s="4"/>
      <c r="N86" s="4"/>
      <c r="O86" s="4"/>
    </row>
    <row r="87" spans="1:15" ht="58.05" customHeight="1">
      <c r="A87" s="4"/>
      <c r="B87" s="4"/>
      <c r="C87" s="4"/>
      <c r="D87" s="4" t="str">
        <f>IF($C87="","",IFERROR(VLOOKUP($C87,'Test Case Catalogue'!$A$6:$M$90,2,FALSE),""))</f>
        <v/>
      </c>
      <c r="E87" s="4" t="str">
        <f>IF($C87="","",IFERROR(VLOOKUP($C87,'Test Case Catalogue'!$A$6:$M$90,4,FALSE),""))</f>
        <v/>
      </c>
      <c r="F87" s="4" t="str">
        <f>IF($C87="","",IFERROR(VLOOKUP($C87,'Test Case Catalogue'!$A$6:$M$90,9,FALSE),""))</f>
        <v/>
      </c>
      <c r="G87" s="4" t="str">
        <f>IF($C87="","",IFERROR(VLOOKUP($C87,'Test Case Catalogue'!$A$6:$M$90,10,FALSE),""))</f>
        <v/>
      </c>
      <c r="H87" s="4"/>
      <c r="I87" s="4"/>
      <c r="J87" s="8"/>
      <c r="K87" s="4"/>
      <c r="L87" s="4"/>
      <c r="M87" s="4"/>
      <c r="N87" s="4"/>
      <c r="O87" s="4"/>
    </row>
    <row r="88" spans="1:15" ht="58.05" customHeight="1">
      <c r="A88" s="4"/>
      <c r="B88" s="4"/>
      <c r="C88" s="4"/>
      <c r="D88" s="4" t="str">
        <f>IF($C88="","",IFERROR(VLOOKUP($C88,'Test Case Catalogue'!$A$6:$M$90,2,FALSE),""))</f>
        <v/>
      </c>
      <c r="E88" s="4" t="str">
        <f>IF($C88="","",IFERROR(VLOOKUP($C88,'Test Case Catalogue'!$A$6:$M$90,4,FALSE),""))</f>
        <v/>
      </c>
      <c r="F88" s="4" t="str">
        <f>IF($C88="","",IFERROR(VLOOKUP($C88,'Test Case Catalogue'!$A$6:$M$90,9,FALSE),""))</f>
        <v/>
      </c>
      <c r="G88" s="4" t="str">
        <f>IF($C88="","",IFERROR(VLOOKUP($C88,'Test Case Catalogue'!$A$6:$M$90,10,FALSE),""))</f>
        <v/>
      </c>
      <c r="H88" s="4"/>
      <c r="I88" s="4"/>
      <c r="J88" s="8"/>
      <c r="K88" s="4"/>
      <c r="L88" s="4"/>
      <c r="M88" s="4"/>
      <c r="N88" s="4"/>
      <c r="O88" s="4"/>
    </row>
    <row r="89" spans="1:15" ht="58.05" customHeight="1">
      <c r="A89" s="4"/>
      <c r="B89" s="4"/>
      <c r="C89" s="4"/>
      <c r="D89" s="4" t="str">
        <f>IF($C89="","",IFERROR(VLOOKUP($C89,'Test Case Catalogue'!$A$6:$M$90,2,FALSE),""))</f>
        <v/>
      </c>
      <c r="E89" s="4" t="str">
        <f>IF($C89="","",IFERROR(VLOOKUP($C89,'Test Case Catalogue'!$A$6:$M$90,4,FALSE),""))</f>
        <v/>
      </c>
      <c r="F89" s="4" t="str">
        <f>IF($C89="","",IFERROR(VLOOKUP($C89,'Test Case Catalogue'!$A$6:$M$90,9,FALSE),""))</f>
        <v/>
      </c>
      <c r="G89" s="4" t="str">
        <f>IF($C89="","",IFERROR(VLOOKUP($C89,'Test Case Catalogue'!$A$6:$M$90,10,FALSE),""))</f>
        <v/>
      </c>
      <c r="H89" s="4"/>
      <c r="I89" s="4"/>
      <c r="J89" s="8"/>
      <c r="K89" s="4"/>
      <c r="L89" s="4"/>
      <c r="M89" s="4"/>
      <c r="N89" s="4"/>
      <c r="O89" s="4"/>
    </row>
    <row r="90" spans="1:15" ht="58.05" customHeight="1">
      <c r="A90" s="4"/>
      <c r="B90" s="4"/>
      <c r="C90" s="4"/>
      <c r="D90" s="4" t="str">
        <f>IF($C90="","",IFERROR(VLOOKUP($C90,'Test Case Catalogue'!$A$6:$M$90,2,FALSE),""))</f>
        <v/>
      </c>
      <c r="E90" s="4" t="str">
        <f>IF($C90="","",IFERROR(VLOOKUP($C90,'Test Case Catalogue'!$A$6:$M$90,4,FALSE),""))</f>
        <v/>
      </c>
      <c r="F90" s="4" t="str">
        <f>IF($C90="","",IFERROR(VLOOKUP($C90,'Test Case Catalogue'!$A$6:$M$90,9,FALSE),""))</f>
        <v/>
      </c>
      <c r="G90" s="4" t="str">
        <f>IF($C90="","",IFERROR(VLOOKUP($C90,'Test Case Catalogue'!$A$6:$M$90,10,FALSE),""))</f>
        <v/>
      </c>
      <c r="H90" s="4"/>
      <c r="I90" s="4"/>
      <c r="J90" s="8"/>
      <c r="K90" s="4"/>
      <c r="L90" s="4"/>
      <c r="M90" s="4"/>
      <c r="N90" s="4"/>
      <c r="O90" s="4"/>
    </row>
    <row r="91" spans="1:15" ht="58.05" customHeight="1">
      <c r="A91" s="4"/>
      <c r="B91" s="4"/>
      <c r="C91" s="4"/>
      <c r="D91" s="4" t="str">
        <f>IF($C91="","",IFERROR(VLOOKUP($C91,'Test Case Catalogue'!$A$6:$M$90,2,FALSE),""))</f>
        <v/>
      </c>
      <c r="E91" s="4" t="str">
        <f>IF($C91="","",IFERROR(VLOOKUP($C91,'Test Case Catalogue'!$A$6:$M$90,4,FALSE),""))</f>
        <v/>
      </c>
      <c r="F91" s="4" t="str">
        <f>IF($C91="","",IFERROR(VLOOKUP($C91,'Test Case Catalogue'!$A$6:$M$90,9,FALSE),""))</f>
        <v/>
      </c>
      <c r="G91" s="4" t="str">
        <f>IF($C91="","",IFERROR(VLOOKUP($C91,'Test Case Catalogue'!$A$6:$M$90,10,FALSE),""))</f>
        <v/>
      </c>
      <c r="H91" s="4"/>
      <c r="I91" s="4"/>
      <c r="J91" s="8"/>
      <c r="K91" s="4"/>
      <c r="L91" s="4"/>
      <c r="M91" s="4"/>
      <c r="N91" s="4"/>
      <c r="O91" s="4"/>
    </row>
    <row r="92" spans="1:15" ht="58.05" customHeight="1">
      <c r="A92" s="4"/>
      <c r="B92" s="4"/>
      <c r="C92" s="4"/>
      <c r="D92" s="4" t="str">
        <f>IF($C92="","",IFERROR(VLOOKUP($C92,'Test Case Catalogue'!$A$6:$M$90,2,FALSE),""))</f>
        <v/>
      </c>
      <c r="E92" s="4" t="str">
        <f>IF($C92="","",IFERROR(VLOOKUP($C92,'Test Case Catalogue'!$A$6:$M$90,4,FALSE),""))</f>
        <v/>
      </c>
      <c r="F92" s="4" t="str">
        <f>IF($C92="","",IFERROR(VLOOKUP($C92,'Test Case Catalogue'!$A$6:$M$90,9,FALSE),""))</f>
        <v/>
      </c>
      <c r="G92" s="4" t="str">
        <f>IF($C92="","",IFERROR(VLOOKUP($C92,'Test Case Catalogue'!$A$6:$M$90,10,FALSE),""))</f>
        <v/>
      </c>
      <c r="H92" s="4"/>
      <c r="I92" s="4"/>
      <c r="J92" s="8"/>
      <c r="K92" s="4"/>
      <c r="L92" s="4"/>
      <c r="M92" s="4"/>
      <c r="N92" s="4"/>
      <c r="O92" s="4"/>
    </row>
    <row r="93" spans="1:15" ht="58.05" customHeight="1">
      <c r="A93" s="4"/>
      <c r="B93" s="4"/>
      <c r="C93" s="4"/>
      <c r="D93" s="4" t="str">
        <f>IF($C93="","",IFERROR(VLOOKUP($C93,'Test Case Catalogue'!$A$6:$M$90,2,FALSE),""))</f>
        <v/>
      </c>
      <c r="E93" s="4" t="str">
        <f>IF($C93="","",IFERROR(VLOOKUP($C93,'Test Case Catalogue'!$A$6:$M$90,4,FALSE),""))</f>
        <v/>
      </c>
      <c r="F93" s="4" t="str">
        <f>IF($C93="","",IFERROR(VLOOKUP($C93,'Test Case Catalogue'!$A$6:$M$90,9,FALSE),""))</f>
        <v/>
      </c>
      <c r="G93" s="4" t="str">
        <f>IF($C93="","",IFERROR(VLOOKUP($C93,'Test Case Catalogue'!$A$6:$M$90,10,FALSE),""))</f>
        <v/>
      </c>
      <c r="H93" s="4"/>
      <c r="I93" s="4"/>
      <c r="J93" s="8"/>
      <c r="K93" s="4"/>
      <c r="L93" s="4"/>
      <c r="M93" s="4"/>
      <c r="N93" s="4"/>
      <c r="O93" s="4"/>
    </row>
    <row r="94" spans="1:15" ht="58.05" customHeight="1">
      <c r="A94" s="4"/>
      <c r="B94" s="4"/>
      <c r="C94" s="4"/>
      <c r="D94" s="4" t="str">
        <f>IF($C94="","",IFERROR(VLOOKUP($C94,'Test Case Catalogue'!$A$6:$M$90,2,FALSE),""))</f>
        <v/>
      </c>
      <c r="E94" s="4" t="str">
        <f>IF($C94="","",IFERROR(VLOOKUP($C94,'Test Case Catalogue'!$A$6:$M$90,4,FALSE),""))</f>
        <v/>
      </c>
      <c r="F94" s="4" t="str">
        <f>IF($C94="","",IFERROR(VLOOKUP($C94,'Test Case Catalogue'!$A$6:$M$90,9,FALSE),""))</f>
        <v/>
      </c>
      <c r="G94" s="4" t="str">
        <f>IF($C94="","",IFERROR(VLOOKUP($C94,'Test Case Catalogue'!$A$6:$M$90,10,FALSE),""))</f>
        <v/>
      </c>
      <c r="H94" s="4"/>
      <c r="I94" s="4"/>
      <c r="J94" s="8"/>
      <c r="K94" s="4"/>
      <c r="L94" s="4"/>
      <c r="M94" s="4"/>
      <c r="N94" s="4"/>
      <c r="O94" s="4"/>
    </row>
    <row r="95" spans="1:15" ht="58.05" customHeight="1">
      <c r="A95" s="4"/>
      <c r="B95" s="4"/>
      <c r="C95" s="4"/>
      <c r="D95" s="4" t="str">
        <f>IF($C95="","",IFERROR(VLOOKUP($C95,'Test Case Catalogue'!$A$6:$M$90,2,FALSE),""))</f>
        <v/>
      </c>
      <c r="E95" s="4" t="str">
        <f>IF($C95="","",IFERROR(VLOOKUP($C95,'Test Case Catalogue'!$A$6:$M$90,4,FALSE),""))</f>
        <v/>
      </c>
      <c r="F95" s="4" t="str">
        <f>IF($C95="","",IFERROR(VLOOKUP($C95,'Test Case Catalogue'!$A$6:$M$90,9,FALSE),""))</f>
        <v/>
      </c>
      <c r="G95" s="4" t="str">
        <f>IF($C95="","",IFERROR(VLOOKUP($C95,'Test Case Catalogue'!$A$6:$M$90,10,FALSE),""))</f>
        <v/>
      </c>
      <c r="H95" s="4"/>
      <c r="I95" s="4"/>
      <c r="J95" s="8"/>
      <c r="K95" s="4"/>
      <c r="L95" s="4"/>
      <c r="M95" s="4"/>
      <c r="N95" s="4"/>
      <c r="O95" s="4"/>
    </row>
    <row r="96" spans="1:15" ht="58.05" customHeight="1">
      <c r="A96" s="4"/>
      <c r="B96" s="4"/>
      <c r="C96" s="4"/>
      <c r="D96" s="4" t="str">
        <f>IF($C96="","",IFERROR(VLOOKUP($C96,'Test Case Catalogue'!$A$6:$M$90,2,FALSE),""))</f>
        <v/>
      </c>
      <c r="E96" s="4" t="str">
        <f>IF($C96="","",IFERROR(VLOOKUP($C96,'Test Case Catalogue'!$A$6:$M$90,4,FALSE),""))</f>
        <v/>
      </c>
      <c r="F96" s="4" t="str">
        <f>IF($C96="","",IFERROR(VLOOKUP($C96,'Test Case Catalogue'!$A$6:$M$90,9,FALSE),""))</f>
        <v/>
      </c>
      <c r="G96" s="4" t="str">
        <f>IF($C96="","",IFERROR(VLOOKUP($C96,'Test Case Catalogue'!$A$6:$M$90,10,FALSE),""))</f>
        <v/>
      </c>
      <c r="H96" s="4"/>
      <c r="I96" s="4"/>
      <c r="J96" s="8"/>
      <c r="K96" s="4"/>
      <c r="L96" s="4"/>
      <c r="M96" s="4"/>
      <c r="N96" s="4"/>
      <c r="O96" s="4"/>
    </row>
    <row r="97" spans="1:15" ht="58.05" customHeight="1">
      <c r="A97" s="4"/>
      <c r="B97" s="4"/>
      <c r="C97" s="4"/>
      <c r="D97" s="4" t="str">
        <f>IF($C97="","",IFERROR(VLOOKUP($C97,'Test Case Catalogue'!$A$6:$M$90,2,FALSE),""))</f>
        <v/>
      </c>
      <c r="E97" s="4" t="str">
        <f>IF($C97="","",IFERROR(VLOOKUP($C97,'Test Case Catalogue'!$A$6:$M$90,4,FALSE),""))</f>
        <v/>
      </c>
      <c r="F97" s="4" t="str">
        <f>IF($C97="","",IFERROR(VLOOKUP($C97,'Test Case Catalogue'!$A$6:$M$90,9,FALSE),""))</f>
        <v/>
      </c>
      <c r="G97" s="4" t="str">
        <f>IF($C97="","",IFERROR(VLOOKUP($C97,'Test Case Catalogue'!$A$6:$M$90,10,FALSE),""))</f>
        <v/>
      </c>
      <c r="H97" s="4"/>
      <c r="I97" s="4"/>
      <c r="J97" s="8"/>
      <c r="K97" s="4"/>
      <c r="L97" s="4"/>
      <c r="M97" s="4"/>
      <c r="N97" s="4"/>
      <c r="O97" s="4"/>
    </row>
    <row r="98" spans="1:15" ht="58.05" customHeight="1">
      <c r="A98" s="4"/>
      <c r="B98" s="4"/>
      <c r="C98" s="4"/>
      <c r="D98" s="4" t="str">
        <f>IF($C98="","",IFERROR(VLOOKUP($C98,'Test Case Catalogue'!$A$6:$M$90,2,FALSE),""))</f>
        <v/>
      </c>
      <c r="E98" s="4" t="str">
        <f>IF($C98="","",IFERROR(VLOOKUP($C98,'Test Case Catalogue'!$A$6:$M$90,4,FALSE),""))</f>
        <v/>
      </c>
      <c r="F98" s="4" t="str">
        <f>IF($C98="","",IFERROR(VLOOKUP($C98,'Test Case Catalogue'!$A$6:$M$90,9,FALSE),""))</f>
        <v/>
      </c>
      <c r="G98" s="4" t="str">
        <f>IF($C98="","",IFERROR(VLOOKUP($C98,'Test Case Catalogue'!$A$6:$M$90,10,FALSE),""))</f>
        <v/>
      </c>
      <c r="H98" s="4"/>
      <c r="I98" s="4"/>
      <c r="J98" s="8"/>
      <c r="K98" s="4"/>
      <c r="L98" s="4"/>
      <c r="M98" s="4"/>
      <c r="N98" s="4"/>
      <c r="O98" s="4"/>
    </row>
    <row r="99" spans="1:15" ht="58.05" customHeight="1">
      <c r="A99" s="4"/>
      <c r="B99" s="4"/>
      <c r="C99" s="4"/>
      <c r="D99" s="4" t="str">
        <f>IF($C99="","",IFERROR(VLOOKUP($C99,'Test Case Catalogue'!$A$6:$M$90,2,FALSE),""))</f>
        <v/>
      </c>
      <c r="E99" s="4" t="str">
        <f>IF($C99="","",IFERROR(VLOOKUP($C99,'Test Case Catalogue'!$A$6:$M$90,4,FALSE),""))</f>
        <v/>
      </c>
      <c r="F99" s="4" t="str">
        <f>IF($C99="","",IFERROR(VLOOKUP($C99,'Test Case Catalogue'!$A$6:$M$90,9,FALSE),""))</f>
        <v/>
      </c>
      <c r="G99" s="4" t="str">
        <f>IF($C99="","",IFERROR(VLOOKUP($C99,'Test Case Catalogue'!$A$6:$M$90,10,FALSE),""))</f>
        <v/>
      </c>
      <c r="H99" s="4"/>
      <c r="I99" s="4"/>
      <c r="J99" s="8"/>
      <c r="K99" s="4"/>
      <c r="L99" s="4"/>
      <c r="M99" s="4"/>
      <c r="N99" s="4"/>
      <c r="O99" s="4"/>
    </row>
    <row r="100" spans="1:15" ht="58.05" customHeight="1">
      <c r="A100" s="4"/>
      <c r="B100" s="4"/>
      <c r="C100" s="4"/>
      <c r="D100" s="4" t="str">
        <f>IF($C100="","",IFERROR(VLOOKUP($C100,'Test Case Catalogue'!$A$6:$M$90,2,FALSE),""))</f>
        <v/>
      </c>
      <c r="E100" s="4" t="str">
        <f>IF($C100="","",IFERROR(VLOOKUP($C100,'Test Case Catalogue'!$A$6:$M$90,4,FALSE),""))</f>
        <v/>
      </c>
      <c r="F100" s="4" t="str">
        <f>IF($C100="","",IFERROR(VLOOKUP($C100,'Test Case Catalogue'!$A$6:$M$90,9,FALSE),""))</f>
        <v/>
      </c>
      <c r="G100" s="4" t="str">
        <f>IF($C100="","",IFERROR(VLOOKUP($C100,'Test Case Catalogue'!$A$6:$M$90,10,FALSE),""))</f>
        <v/>
      </c>
      <c r="H100" s="4"/>
      <c r="I100" s="4"/>
      <c r="J100" s="8"/>
      <c r="K100" s="4"/>
      <c r="L100" s="4"/>
      <c r="M100" s="4"/>
      <c r="N100" s="4"/>
      <c r="O100" s="4"/>
    </row>
    <row r="101" spans="1:15" ht="58.05" customHeight="1">
      <c r="A101" s="4"/>
      <c r="B101" s="4"/>
      <c r="C101" s="4"/>
      <c r="D101" s="4" t="str">
        <f>IF($C101="","",IFERROR(VLOOKUP($C101,'Test Case Catalogue'!$A$6:$M$90,2,FALSE),""))</f>
        <v/>
      </c>
      <c r="E101" s="4" t="str">
        <f>IF($C101="","",IFERROR(VLOOKUP($C101,'Test Case Catalogue'!$A$6:$M$90,4,FALSE),""))</f>
        <v/>
      </c>
      <c r="F101" s="4" t="str">
        <f>IF($C101="","",IFERROR(VLOOKUP($C101,'Test Case Catalogue'!$A$6:$M$90,9,FALSE),""))</f>
        <v/>
      </c>
      <c r="G101" s="4" t="str">
        <f>IF($C101="","",IFERROR(VLOOKUP($C101,'Test Case Catalogue'!$A$6:$M$90,10,FALSE),""))</f>
        <v/>
      </c>
      <c r="H101" s="4"/>
      <c r="I101" s="4"/>
      <c r="J101" s="8"/>
      <c r="K101" s="4"/>
      <c r="L101" s="4"/>
      <c r="M101" s="4"/>
      <c r="N101" s="4"/>
      <c r="O101" s="4"/>
    </row>
    <row r="102" spans="1:15" ht="58.05" customHeight="1">
      <c r="A102" s="4"/>
      <c r="B102" s="4"/>
      <c r="C102" s="4"/>
      <c r="D102" s="4" t="str">
        <f>IF($C102="","",IFERROR(VLOOKUP($C102,'Test Case Catalogue'!$A$6:$M$90,2,FALSE),""))</f>
        <v/>
      </c>
      <c r="E102" s="4" t="str">
        <f>IF($C102="","",IFERROR(VLOOKUP($C102,'Test Case Catalogue'!$A$6:$M$90,4,FALSE),""))</f>
        <v/>
      </c>
      <c r="F102" s="4" t="str">
        <f>IF($C102="","",IFERROR(VLOOKUP($C102,'Test Case Catalogue'!$A$6:$M$90,9,FALSE),""))</f>
        <v/>
      </c>
      <c r="G102" s="4" t="str">
        <f>IF($C102="","",IFERROR(VLOOKUP($C102,'Test Case Catalogue'!$A$6:$M$90,10,FALSE),""))</f>
        <v/>
      </c>
      <c r="H102" s="4"/>
      <c r="I102" s="4"/>
      <c r="J102" s="8"/>
      <c r="K102" s="4"/>
      <c r="L102" s="4"/>
      <c r="M102" s="4"/>
      <c r="N102" s="4"/>
      <c r="O102" s="4"/>
    </row>
    <row r="103" spans="1:15" ht="58.05" customHeight="1">
      <c r="A103" s="4"/>
      <c r="B103" s="4"/>
      <c r="C103" s="4"/>
      <c r="D103" s="4" t="str">
        <f>IF($C103="","",IFERROR(VLOOKUP($C103,'Test Case Catalogue'!$A$6:$M$90,2,FALSE),""))</f>
        <v/>
      </c>
      <c r="E103" s="4" t="str">
        <f>IF($C103="","",IFERROR(VLOOKUP($C103,'Test Case Catalogue'!$A$6:$M$90,4,FALSE),""))</f>
        <v/>
      </c>
      <c r="F103" s="4" t="str">
        <f>IF($C103="","",IFERROR(VLOOKUP($C103,'Test Case Catalogue'!$A$6:$M$90,9,FALSE),""))</f>
        <v/>
      </c>
      <c r="G103" s="4" t="str">
        <f>IF($C103="","",IFERROR(VLOOKUP($C103,'Test Case Catalogue'!$A$6:$M$90,10,FALSE),""))</f>
        <v/>
      </c>
      <c r="H103" s="4"/>
      <c r="I103" s="4"/>
      <c r="J103" s="8"/>
      <c r="K103" s="4"/>
      <c r="L103" s="4"/>
      <c r="M103" s="4"/>
      <c r="N103" s="4"/>
      <c r="O103" s="4"/>
    </row>
    <row r="104" spans="1:15" ht="58.05" customHeight="1">
      <c r="A104" s="4"/>
      <c r="B104" s="4"/>
      <c r="C104" s="4"/>
      <c r="D104" s="4" t="str">
        <f>IF($C104="","",IFERROR(VLOOKUP($C104,'Test Case Catalogue'!$A$6:$M$90,2,FALSE),""))</f>
        <v/>
      </c>
      <c r="E104" s="4" t="str">
        <f>IF($C104="","",IFERROR(VLOOKUP($C104,'Test Case Catalogue'!$A$6:$M$90,4,FALSE),""))</f>
        <v/>
      </c>
      <c r="F104" s="4" t="str">
        <f>IF($C104="","",IFERROR(VLOOKUP($C104,'Test Case Catalogue'!$A$6:$M$90,9,FALSE),""))</f>
        <v/>
      </c>
      <c r="G104" s="4" t="str">
        <f>IF($C104="","",IFERROR(VLOOKUP($C104,'Test Case Catalogue'!$A$6:$M$90,10,FALSE),""))</f>
        <v/>
      </c>
      <c r="H104" s="4"/>
      <c r="I104" s="4"/>
      <c r="J104" s="8"/>
      <c r="K104" s="4"/>
      <c r="L104" s="4"/>
      <c r="M104" s="4"/>
      <c r="N104" s="4"/>
      <c r="O104" s="4"/>
    </row>
    <row r="105" spans="1:15" ht="58.05" customHeight="1">
      <c r="A105" s="4"/>
      <c r="B105" s="4"/>
      <c r="C105" s="4"/>
      <c r="D105" s="4" t="str">
        <f>IF($C105="","",IFERROR(VLOOKUP($C105,'Test Case Catalogue'!$A$6:$M$90,2,FALSE),""))</f>
        <v/>
      </c>
      <c r="E105" s="4" t="str">
        <f>IF($C105="","",IFERROR(VLOOKUP($C105,'Test Case Catalogue'!$A$6:$M$90,4,FALSE),""))</f>
        <v/>
      </c>
      <c r="F105" s="4" t="str">
        <f>IF($C105="","",IFERROR(VLOOKUP($C105,'Test Case Catalogue'!$A$6:$M$90,9,FALSE),""))</f>
        <v/>
      </c>
      <c r="G105" s="4" t="str">
        <f>IF($C105="","",IFERROR(VLOOKUP($C105,'Test Case Catalogue'!$A$6:$M$90,10,FALSE),""))</f>
        <v/>
      </c>
      <c r="H105" s="4"/>
      <c r="I105" s="4"/>
      <c r="J105" s="8"/>
      <c r="K105" s="4"/>
      <c r="L105" s="4"/>
      <c r="M105" s="4"/>
      <c r="N105" s="4"/>
      <c r="O105" s="4"/>
    </row>
    <row r="106" spans="1:15" ht="58.05" customHeight="1">
      <c r="A106" s="4"/>
      <c r="B106" s="4"/>
      <c r="C106" s="4"/>
      <c r="D106" s="4" t="str">
        <f>IF($C106="","",IFERROR(VLOOKUP($C106,'Test Case Catalogue'!$A$6:$M$90,2,FALSE),""))</f>
        <v/>
      </c>
      <c r="E106" s="4" t="str">
        <f>IF($C106="","",IFERROR(VLOOKUP($C106,'Test Case Catalogue'!$A$6:$M$90,4,FALSE),""))</f>
        <v/>
      </c>
      <c r="F106" s="4" t="str">
        <f>IF($C106="","",IFERROR(VLOOKUP($C106,'Test Case Catalogue'!$A$6:$M$90,9,FALSE),""))</f>
        <v/>
      </c>
      <c r="G106" s="4" t="str">
        <f>IF($C106="","",IFERROR(VLOOKUP($C106,'Test Case Catalogue'!$A$6:$M$90,10,FALSE),""))</f>
        <v/>
      </c>
      <c r="H106" s="4"/>
      <c r="I106" s="4"/>
      <c r="J106" s="8"/>
      <c r="K106" s="4"/>
      <c r="L106" s="4"/>
      <c r="M106" s="4"/>
      <c r="N106" s="4"/>
      <c r="O106" s="4"/>
    </row>
    <row r="107" spans="1:15" ht="58.05" customHeight="1">
      <c r="A107" s="4"/>
      <c r="B107" s="4"/>
      <c r="C107" s="4"/>
      <c r="D107" s="4" t="str">
        <f>IF($C107="","",IFERROR(VLOOKUP($C107,'Test Case Catalogue'!$A$6:$M$90,2,FALSE),""))</f>
        <v/>
      </c>
      <c r="E107" s="4" t="str">
        <f>IF($C107="","",IFERROR(VLOOKUP($C107,'Test Case Catalogue'!$A$6:$M$90,4,FALSE),""))</f>
        <v/>
      </c>
      <c r="F107" s="4" t="str">
        <f>IF($C107="","",IFERROR(VLOOKUP($C107,'Test Case Catalogue'!$A$6:$M$90,9,FALSE),""))</f>
        <v/>
      </c>
      <c r="G107" s="4" t="str">
        <f>IF($C107="","",IFERROR(VLOOKUP($C107,'Test Case Catalogue'!$A$6:$M$90,10,FALSE),""))</f>
        <v/>
      </c>
      <c r="H107" s="4"/>
      <c r="I107" s="4"/>
      <c r="J107" s="8"/>
      <c r="K107" s="4"/>
      <c r="L107" s="4"/>
      <c r="M107" s="4"/>
      <c r="N107" s="4"/>
      <c r="O107" s="4"/>
    </row>
    <row r="108" spans="1:15" ht="58.05" customHeight="1">
      <c r="A108" s="4"/>
      <c r="B108" s="4"/>
      <c r="C108" s="4"/>
      <c r="D108" s="4" t="str">
        <f>IF($C108="","",IFERROR(VLOOKUP($C108,'Test Case Catalogue'!$A$6:$M$90,2,FALSE),""))</f>
        <v/>
      </c>
      <c r="E108" s="4" t="str">
        <f>IF($C108="","",IFERROR(VLOOKUP($C108,'Test Case Catalogue'!$A$6:$M$90,4,FALSE),""))</f>
        <v/>
      </c>
      <c r="F108" s="4" t="str">
        <f>IF($C108="","",IFERROR(VLOOKUP($C108,'Test Case Catalogue'!$A$6:$M$90,9,FALSE),""))</f>
        <v/>
      </c>
      <c r="G108" s="4" t="str">
        <f>IF($C108="","",IFERROR(VLOOKUP($C108,'Test Case Catalogue'!$A$6:$M$90,10,FALSE),""))</f>
        <v/>
      </c>
      <c r="H108" s="4"/>
      <c r="I108" s="4"/>
      <c r="J108" s="8"/>
      <c r="K108" s="4"/>
      <c r="L108" s="4"/>
      <c r="M108" s="4"/>
      <c r="N108" s="4"/>
      <c r="O108" s="4"/>
    </row>
    <row r="109" spans="1:15" ht="58.05" customHeight="1">
      <c r="A109" s="4"/>
      <c r="B109" s="4"/>
      <c r="C109" s="4"/>
      <c r="D109" s="4" t="str">
        <f>IF($C109="","",IFERROR(VLOOKUP($C109,'Test Case Catalogue'!$A$6:$M$90,2,FALSE),""))</f>
        <v/>
      </c>
      <c r="E109" s="4" t="str">
        <f>IF($C109="","",IFERROR(VLOOKUP($C109,'Test Case Catalogue'!$A$6:$M$90,4,FALSE),""))</f>
        <v/>
      </c>
      <c r="F109" s="4" t="str">
        <f>IF($C109="","",IFERROR(VLOOKUP($C109,'Test Case Catalogue'!$A$6:$M$90,9,FALSE),""))</f>
        <v/>
      </c>
      <c r="G109" s="4" t="str">
        <f>IF($C109="","",IFERROR(VLOOKUP($C109,'Test Case Catalogue'!$A$6:$M$90,10,FALSE),""))</f>
        <v/>
      </c>
      <c r="H109" s="4"/>
      <c r="I109" s="4"/>
      <c r="J109" s="8"/>
      <c r="K109" s="4"/>
      <c r="L109" s="4"/>
      <c r="M109" s="4"/>
      <c r="N109" s="4"/>
      <c r="O109" s="4"/>
    </row>
    <row r="110" spans="1:15" ht="58.05" customHeight="1">
      <c r="A110" s="4"/>
      <c r="B110" s="4"/>
      <c r="C110" s="4"/>
      <c r="D110" s="4" t="str">
        <f>IF($C110="","",IFERROR(VLOOKUP($C110,'Test Case Catalogue'!$A$6:$M$90,2,FALSE),""))</f>
        <v/>
      </c>
      <c r="E110" s="4" t="str">
        <f>IF($C110="","",IFERROR(VLOOKUP($C110,'Test Case Catalogue'!$A$6:$M$90,4,FALSE),""))</f>
        <v/>
      </c>
      <c r="F110" s="4" t="str">
        <f>IF($C110="","",IFERROR(VLOOKUP($C110,'Test Case Catalogue'!$A$6:$M$90,9,FALSE),""))</f>
        <v/>
      </c>
      <c r="G110" s="4" t="str">
        <f>IF($C110="","",IFERROR(VLOOKUP($C110,'Test Case Catalogue'!$A$6:$M$90,10,FALSE),""))</f>
        <v/>
      </c>
      <c r="H110" s="4"/>
      <c r="I110" s="4"/>
      <c r="J110" s="8"/>
      <c r="K110" s="4"/>
      <c r="L110" s="4"/>
      <c r="M110" s="4"/>
      <c r="N110" s="4"/>
      <c r="O110" s="4"/>
    </row>
    <row r="111" spans="1:15" ht="58.05" customHeight="1">
      <c r="A111" s="4"/>
      <c r="B111" s="4"/>
      <c r="C111" s="4"/>
      <c r="D111" s="4" t="str">
        <f>IF($C111="","",IFERROR(VLOOKUP($C111,'Test Case Catalogue'!$A$6:$M$90,2,FALSE),""))</f>
        <v/>
      </c>
      <c r="E111" s="4" t="str">
        <f>IF($C111="","",IFERROR(VLOOKUP($C111,'Test Case Catalogue'!$A$6:$M$90,4,FALSE),""))</f>
        <v/>
      </c>
      <c r="F111" s="4" t="str">
        <f>IF($C111="","",IFERROR(VLOOKUP($C111,'Test Case Catalogue'!$A$6:$M$90,9,FALSE),""))</f>
        <v/>
      </c>
      <c r="G111" s="4" t="str">
        <f>IF($C111="","",IFERROR(VLOOKUP($C111,'Test Case Catalogue'!$A$6:$M$90,10,FALSE),""))</f>
        <v/>
      </c>
      <c r="H111" s="4"/>
      <c r="I111" s="4"/>
      <c r="J111" s="8"/>
      <c r="K111" s="4"/>
      <c r="L111" s="4"/>
      <c r="M111" s="4"/>
      <c r="N111" s="4"/>
      <c r="O111" s="4"/>
    </row>
    <row r="112" spans="1:15" ht="58.05" customHeight="1">
      <c r="A112" s="4"/>
      <c r="B112" s="4"/>
      <c r="C112" s="4"/>
      <c r="D112" s="4" t="str">
        <f>IF($C112="","",IFERROR(VLOOKUP($C112,'Test Case Catalogue'!$A$6:$M$90,2,FALSE),""))</f>
        <v/>
      </c>
      <c r="E112" s="4" t="str">
        <f>IF($C112="","",IFERROR(VLOOKUP($C112,'Test Case Catalogue'!$A$6:$M$90,4,FALSE),""))</f>
        <v/>
      </c>
      <c r="F112" s="4" t="str">
        <f>IF($C112="","",IFERROR(VLOOKUP($C112,'Test Case Catalogue'!$A$6:$M$90,9,FALSE),""))</f>
        <v/>
      </c>
      <c r="G112" s="4" t="str">
        <f>IF($C112="","",IFERROR(VLOOKUP($C112,'Test Case Catalogue'!$A$6:$M$90,10,FALSE),""))</f>
        <v/>
      </c>
      <c r="H112" s="4"/>
      <c r="I112" s="4"/>
      <c r="J112" s="8"/>
      <c r="K112" s="4"/>
      <c r="L112" s="4"/>
      <c r="M112" s="4"/>
      <c r="N112" s="4"/>
      <c r="O112" s="4"/>
    </row>
    <row r="113" spans="1:15" ht="58.05" customHeight="1">
      <c r="A113" s="4"/>
      <c r="B113" s="4"/>
      <c r="C113" s="4"/>
      <c r="D113" s="4" t="str">
        <f>IF($C113="","",IFERROR(VLOOKUP($C113,'Test Case Catalogue'!$A$6:$M$90,2,FALSE),""))</f>
        <v/>
      </c>
      <c r="E113" s="4" t="str">
        <f>IF($C113="","",IFERROR(VLOOKUP($C113,'Test Case Catalogue'!$A$6:$M$90,4,FALSE),""))</f>
        <v/>
      </c>
      <c r="F113" s="4" t="str">
        <f>IF($C113="","",IFERROR(VLOOKUP($C113,'Test Case Catalogue'!$A$6:$M$90,9,FALSE),""))</f>
        <v/>
      </c>
      <c r="G113" s="4" t="str">
        <f>IF($C113="","",IFERROR(VLOOKUP($C113,'Test Case Catalogue'!$A$6:$M$90,10,FALSE),""))</f>
        <v/>
      </c>
      <c r="H113" s="4"/>
      <c r="I113" s="4"/>
      <c r="J113" s="8"/>
      <c r="K113" s="4"/>
      <c r="L113" s="4"/>
      <c r="M113" s="4"/>
      <c r="N113" s="4"/>
      <c r="O113" s="4"/>
    </row>
    <row r="114" spans="1:15" ht="58.05" customHeight="1">
      <c r="A114" s="4"/>
      <c r="B114" s="4"/>
      <c r="C114" s="4"/>
      <c r="D114" s="4" t="str">
        <f>IF($C114="","",IFERROR(VLOOKUP($C114,'Test Case Catalogue'!$A$6:$M$90,2,FALSE),""))</f>
        <v/>
      </c>
      <c r="E114" s="4" t="str">
        <f>IF($C114="","",IFERROR(VLOOKUP($C114,'Test Case Catalogue'!$A$6:$M$90,4,FALSE),""))</f>
        <v/>
      </c>
      <c r="F114" s="4" t="str">
        <f>IF($C114="","",IFERROR(VLOOKUP($C114,'Test Case Catalogue'!$A$6:$M$90,9,FALSE),""))</f>
        <v/>
      </c>
      <c r="G114" s="4" t="str">
        <f>IF($C114="","",IFERROR(VLOOKUP($C114,'Test Case Catalogue'!$A$6:$M$90,10,FALSE),""))</f>
        <v/>
      </c>
      <c r="H114" s="4"/>
      <c r="I114" s="4"/>
      <c r="J114" s="8"/>
      <c r="K114" s="4"/>
      <c r="L114" s="4"/>
      <c r="M114" s="4"/>
      <c r="N114" s="4"/>
      <c r="O114" s="4"/>
    </row>
    <row r="115" spans="1:15" ht="58.05" customHeight="1">
      <c r="A115" s="4"/>
      <c r="B115" s="4"/>
      <c r="C115" s="4"/>
      <c r="D115" s="4" t="str">
        <f>IF($C115="","",IFERROR(VLOOKUP($C115,'Test Case Catalogue'!$A$6:$M$90,2,FALSE),""))</f>
        <v/>
      </c>
      <c r="E115" s="4" t="str">
        <f>IF($C115="","",IFERROR(VLOOKUP($C115,'Test Case Catalogue'!$A$6:$M$90,4,FALSE),""))</f>
        <v/>
      </c>
      <c r="F115" s="4" t="str">
        <f>IF($C115="","",IFERROR(VLOOKUP($C115,'Test Case Catalogue'!$A$6:$M$90,9,FALSE),""))</f>
        <v/>
      </c>
      <c r="G115" s="4" t="str">
        <f>IF($C115="","",IFERROR(VLOOKUP($C115,'Test Case Catalogue'!$A$6:$M$90,10,FALSE),""))</f>
        <v/>
      </c>
      <c r="H115" s="4"/>
      <c r="I115" s="4"/>
      <c r="J115" s="8"/>
      <c r="K115" s="4"/>
      <c r="L115" s="4"/>
      <c r="M115" s="4"/>
      <c r="N115" s="4"/>
      <c r="O115" s="4"/>
    </row>
    <row r="116" spans="1:15" ht="58.05" customHeight="1">
      <c r="A116" s="4"/>
      <c r="B116" s="4"/>
      <c r="C116" s="4"/>
      <c r="D116" s="4" t="str">
        <f>IF($C116="","",IFERROR(VLOOKUP($C116,'Test Case Catalogue'!$A$6:$M$90,2,FALSE),""))</f>
        <v/>
      </c>
      <c r="E116" s="4" t="str">
        <f>IF($C116="","",IFERROR(VLOOKUP($C116,'Test Case Catalogue'!$A$6:$M$90,4,FALSE),""))</f>
        <v/>
      </c>
      <c r="F116" s="4" t="str">
        <f>IF($C116="","",IFERROR(VLOOKUP($C116,'Test Case Catalogue'!$A$6:$M$90,9,FALSE),""))</f>
        <v/>
      </c>
      <c r="G116" s="4" t="str">
        <f>IF($C116="","",IFERROR(VLOOKUP($C116,'Test Case Catalogue'!$A$6:$M$90,10,FALSE),""))</f>
        <v/>
      </c>
      <c r="H116" s="4"/>
      <c r="I116" s="4"/>
      <c r="J116" s="8"/>
      <c r="K116" s="4"/>
      <c r="L116" s="4"/>
      <c r="M116" s="4"/>
      <c r="N116" s="4"/>
      <c r="O116" s="4"/>
    </row>
    <row r="117" spans="1:15" ht="58.05" customHeight="1">
      <c r="A117" s="4"/>
      <c r="B117" s="4"/>
      <c r="C117" s="4"/>
      <c r="D117" s="4" t="str">
        <f>IF($C117="","",IFERROR(VLOOKUP($C117,'Test Case Catalogue'!$A$6:$M$90,2,FALSE),""))</f>
        <v/>
      </c>
      <c r="E117" s="4" t="str">
        <f>IF($C117="","",IFERROR(VLOOKUP($C117,'Test Case Catalogue'!$A$6:$M$90,4,FALSE),""))</f>
        <v/>
      </c>
      <c r="F117" s="4" t="str">
        <f>IF($C117="","",IFERROR(VLOOKUP($C117,'Test Case Catalogue'!$A$6:$M$90,9,FALSE),""))</f>
        <v/>
      </c>
      <c r="G117" s="4" t="str">
        <f>IF($C117="","",IFERROR(VLOOKUP($C117,'Test Case Catalogue'!$A$6:$M$90,10,FALSE),""))</f>
        <v/>
      </c>
      <c r="H117" s="4"/>
      <c r="I117" s="4"/>
      <c r="J117" s="8"/>
      <c r="K117" s="4"/>
      <c r="L117" s="4"/>
      <c r="M117" s="4"/>
      <c r="N117" s="4"/>
      <c r="O117" s="4"/>
    </row>
    <row r="118" spans="1:15" ht="58.05" customHeight="1">
      <c r="A118" s="4"/>
      <c r="B118" s="4"/>
      <c r="C118" s="4"/>
      <c r="D118" s="4" t="str">
        <f>IF($C118="","",IFERROR(VLOOKUP($C118,'Test Case Catalogue'!$A$6:$M$90,2,FALSE),""))</f>
        <v/>
      </c>
      <c r="E118" s="4" t="str">
        <f>IF($C118="","",IFERROR(VLOOKUP($C118,'Test Case Catalogue'!$A$6:$M$90,4,FALSE),""))</f>
        <v/>
      </c>
      <c r="F118" s="4" t="str">
        <f>IF($C118="","",IFERROR(VLOOKUP($C118,'Test Case Catalogue'!$A$6:$M$90,9,FALSE),""))</f>
        <v/>
      </c>
      <c r="G118" s="4" t="str">
        <f>IF($C118="","",IFERROR(VLOOKUP($C118,'Test Case Catalogue'!$A$6:$M$90,10,FALSE),""))</f>
        <v/>
      </c>
      <c r="H118" s="4"/>
      <c r="I118" s="4"/>
      <c r="J118" s="8"/>
      <c r="K118" s="4"/>
      <c r="L118" s="4"/>
      <c r="M118" s="4"/>
      <c r="N118" s="4"/>
      <c r="O118" s="4"/>
    </row>
    <row r="119" spans="1:15" ht="58.05" customHeight="1">
      <c r="A119" s="4"/>
      <c r="B119" s="4"/>
      <c r="C119" s="4"/>
      <c r="D119" s="4" t="str">
        <f>IF($C119="","",IFERROR(VLOOKUP($C119,'Test Case Catalogue'!$A$6:$M$90,2,FALSE),""))</f>
        <v/>
      </c>
      <c r="E119" s="4" t="str">
        <f>IF($C119="","",IFERROR(VLOOKUP($C119,'Test Case Catalogue'!$A$6:$M$90,4,FALSE),""))</f>
        <v/>
      </c>
      <c r="F119" s="4" t="str">
        <f>IF($C119="","",IFERROR(VLOOKUP($C119,'Test Case Catalogue'!$A$6:$M$90,9,FALSE),""))</f>
        <v/>
      </c>
      <c r="G119" s="4" t="str">
        <f>IF($C119="","",IFERROR(VLOOKUP($C119,'Test Case Catalogue'!$A$6:$M$90,10,FALSE),""))</f>
        <v/>
      </c>
      <c r="H119" s="4"/>
      <c r="I119" s="4"/>
      <c r="J119" s="8"/>
      <c r="K119" s="4"/>
      <c r="L119" s="4"/>
      <c r="M119" s="4"/>
      <c r="N119" s="4"/>
      <c r="O119" s="4"/>
    </row>
    <row r="120" spans="1:15" ht="58.05" customHeight="1">
      <c r="A120" s="4"/>
      <c r="B120" s="4"/>
      <c r="C120" s="4"/>
      <c r="D120" s="4" t="str">
        <f>IF($C120="","",IFERROR(VLOOKUP($C120,'Test Case Catalogue'!$A$6:$M$90,2,FALSE),""))</f>
        <v/>
      </c>
      <c r="E120" s="4" t="str">
        <f>IF($C120="","",IFERROR(VLOOKUP($C120,'Test Case Catalogue'!$A$6:$M$90,4,FALSE),""))</f>
        <v/>
      </c>
      <c r="F120" s="4" t="str">
        <f>IF($C120="","",IFERROR(VLOOKUP($C120,'Test Case Catalogue'!$A$6:$M$90,9,FALSE),""))</f>
        <v/>
      </c>
      <c r="G120" s="4" t="str">
        <f>IF($C120="","",IFERROR(VLOOKUP($C120,'Test Case Catalogue'!$A$6:$M$90,10,FALSE),""))</f>
        <v/>
      </c>
      <c r="H120" s="4"/>
      <c r="I120" s="4"/>
      <c r="J120" s="8"/>
      <c r="K120" s="4"/>
      <c r="L120" s="4"/>
      <c r="M120" s="4"/>
      <c r="N120" s="4"/>
      <c r="O120" s="4"/>
    </row>
    <row r="121" spans="1:15" ht="58.05" customHeight="1">
      <c r="A121" s="4"/>
      <c r="B121" s="4"/>
      <c r="C121" s="4"/>
      <c r="D121" s="4" t="str">
        <f>IF($C121="","",IFERROR(VLOOKUP($C121,'Test Case Catalogue'!$A$6:$M$90,2,FALSE),""))</f>
        <v/>
      </c>
      <c r="E121" s="4" t="str">
        <f>IF($C121="","",IFERROR(VLOOKUP($C121,'Test Case Catalogue'!$A$6:$M$90,4,FALSE),""))</f>
        <v/>
      </c>
      <c r="F121" s="4" t="str">
        <f>IF($C121="","",IFERROR(VLOOKUP($C121,'Test Case Catalogue'!$A$6:$M$90,9,FALSE),""))</f>
        <v/>
      </c>
      <c r="G121" s="4" t="str">
        <f>IF($C121="","",IFERROR(VLOOKUP($C121,'Test Case Catalogue'!$A$6:$M$90,10,FALSE),""))</f>
        <v/>
      </c>
      <c r="H121" s="4"/>
      <c r="I121" s="4"/>
      <c r="J121" s="8"/>
      <c r="K121" s="4"/>
      <c r="L121" s="4"/>
      <c r="M121" s="4"/>
      <c r="N121" s="4"/>
      <c r="O121" s="4"/>
    </row>
    <row r="122" spans="1:15" ht="58.05" customHeight="1">
      <c r="A122" s="4"/>
      <c r="B122" s="4"/>
      <c r="C122" s="4"/>
      <c r="D122" s="4" t="str">
        <f>IF($C122="","",IFERROR(VLOOKUP($C122,'Test Case Catalogue'!$A$6:$M$90,2,FALSE),""))</f>
        <v/>
      </c>
      <c r="E122" s="4" t="str">
        <f>IF($C122="","",IFERROR(VLOOKUP($C122,'Test Case Catalogue'!$A$6:$M$90,4,FALSE),""))</f>
        <v/>
      </c>
      <c r="F122" s="4" t="str">
        <f>IF($C122="","",IFERROR(VLOOKUP($C122,'Test Case Catalogue'!$A$6:$M$90,9,FALSE),""))</f>
        <v/>
      </c>
      <c r="G122" s="4" t="str">
        <f>IF($C122="","",IFERROR(VLOOKUP($C122,'Test Case Catalogue'!$A$6:$M$90,10,FALSE),""))</f>
        <v/>
      </c>
      <c r="H122" s="4"/>
      <c r="I122" s="4"/>
      <c r="J122" s="8"/>
      <c r="K122" s="4"/>
      <c r="L122" s="4"/>
      <c r="M122" s="4"/>
      <c r="N122" s="4"/>
      <c r="O122" s="4"/>
    </row>
    <row r="123" spans="1:15" ht="58.05" customHeight="1">
      <c r="A123" s="4"/>
      <c r="B123" s="4"/>
      <c r="C123" s="4"/>
      <c r="D123" s="4" t="str">
        <f>IF($C123="","",IFERROR(VLOOKUP($C123,'Test Case Catalogue'!$A$6:$M$90,2,FALSE),""))</f>
        <v/>
      </c>
      <c r="E123" s="4" t="str">
        <f>IF($C123="","",IFERROR(VLOOKUP($C123,'Test Case Catalogue'!$A$6:$M$90,4,FALSE),""))</f>
        <v/>
      </c>
      <c r="F123" s="4" t="str">
        <f>IF($C123="","",IFERROR(VLOOKUP($C123,'Test Case Catalogue'!$A$6:$M$90,9,FALSE),""))</f>
        <v/>
      </c>
      <c r="G123" s="4" t="str">
        <f>IF($C123="","",IFERROR(VLOOKUP($C123,'Test Case Catalogue'!$A$6:$M$90,10,FALSE),""))</f>
        <v/>
      </c>
      <c r="H123" s="4"/>
      <c r="I123" s="4"/>
      <c r="J123" s="8"/>
      <c r="K123" s="4"/>
      <c r="L123" s="4"/>
      <c r="M123" s="4"/>
      <c r="N123" s="4"/>
      <c r="O123" s="4"/>
    </row>
    <row r="124" spans="1:15" ht="58.05" customHeight="1">
      <c r="A124" s="4"/>
      <c r="B124" s="4"/>
      <c r="C124" s="4"/>
      <c r="D124" s="4" t="str">
        <f>IF($C124="","",IFERROR(VLOOKUP($C124,'Test Case Catalogue'!$A$6:$M$90,2,FALSE),""))</f>
        <v/>
      </c>
      <c r="E124" s="4" t="str">
        <f>IF($C124="","",IFERROR(VLOOKUP($C124,'Test Case Catalogue'!$A$6:$M$90,4,FALSE),""))</f>
        <v/>
      </c>
      <c r="F124" s="4" t="str">
        <f>IF($C124="","",IFERROR(VLOOKUP($C124,'Test Case Catalogue'!$A$6:$M$90,9,FALSE),""))</f>
        <v/>
      </c>
      <c r="G124" s="4" t="str">
        <f>IF($C124="","",IFERROR(VLOOKUP($C124,'Test Case Catalogue'!$A$6:$M$90,10,FALSE),""))</f>
        <v/>
      </c>
      <c r="H124" s="4"/>
      <c r="I124" s="4"/>
      <c r="J124" s="8"/>
      <c r="K124" s="4"/>
      <c r="L124" s="4"/>
      <c r="M124" s="4"/>
      <c r="N124" s="4"/>
      <c r="O124" s="4"/>
    </row>
    <row r="125" spans="1:15" ht="58.05" customHeight="1">
      <c r="A125" s="4"/>
      <c r="B125" s="4"/>
      <c r="C125" s="4"/>
      <c r="D125" s="4" t="str">
        <f>IF($C125="","",IFERROR(VLOOKUP($C125,'Test Case Catalogue'!$A$6:$M$90,2,FALSE),""))</f>
        <v/>
      </c>
      <c r="E125" s="4" t="str">
        <f>IF($C125="","",IFERROR(VLOOKUP($C125,'Test Case Catalogue'!$A$6:$M$90,4,FALSE),""))</f>
        <v/>
      </c>
      <c r="F125" s="4" t="str">
        <f>IF($C125="","",IFERROR(VLOOKUP($C125,'Test Case Catalogue'!$A$6:$M$90,9,FALSE),""))</f>
        <v/>
      </c>
      <c r="G125" s="4" t="str">
        <f>IF($C125="","",IFERROR(VLOOKUP($C125,'Test Case Catalogue'!$A$6:$M$90,10,FALSE),""))</f>
        <v/>
      </c>
      <c r="H125" s="4"/>
      <c r="I125" s="4"/>
      <c r="J125" s="8"/>
      <c r="K125" s="4"/>
      <c r="L125" s="4"/>
      <c r="M125" s="4"/>
      <c r="N125" s="4"/>
      <c r="O125" s="4"/>
    </row>
    <row r="126" spans="1:15" ht="58.05" customHeight="1">
      <c r="A126" s="4"/>
      <c r="B126" s="4"/>
      <c r="C126" s="4"/>
      <c r="D126" s="4" t="str">
        <f>IF($C126="","",IFERROR(VLOOKUP($C126,'Test Case Catalogue'!$A$6:$M$90,2,FALSE),""))</f>
        <v/>
      </c>
      <c r="E126" s="4" t="str">
        <f>IF($C126="","",IFERROR(VLOOKUP($C126,'Test Case Catalogue'!$A$6:$M$90,4,FALSE),""))</f>
        <v/>
      </c>
      <c r="F126" s="4" t="str">
        <f>IF($C126="","",IFERROR(VLOOKUP($C126,'Test Case Catalogue'!$A$6:$M$90,9,FALSE),""))</f>
        <v/>
      </c>
      <c r="G126" s="4" t="str">
        <f>IF($C126="","",IFERROR(VLOOKUP($C126,'Test Case Catalogue'!$A$6:$M$90,10,FALSE),""))</f>
        <v/>
      </c>
      <c r="H126" s="4"/>
      <c r="I126" s="4"/>
      <c r="J126" s="8"/>
      <c r="K126" s="4"/>
      <c r="L126" s="4"/>
      <c r="M126" s="4"/>
      <c r="N126" s="4"/>
      <c r="O126" s="4"/>
    </row>
    <row r="127" spans="1:15" ht="58.05" customHeight="1">
      <c r="A127" s="4"/>
      <c r="B127" s="4"/>
      <c r="C127" s="4"/>
      <c r="D127" s="4" t="str">
        <f>IF($C127="","",IFERROR(VLOOKUP($C127,'Test Case Catalogue'!$A$6:$M$90,2,FALSE),""))</f>
        <v/>
      </c>
      <c r="E127" s="4" t="str">
        <f>IF($C127="","",IFERROR(VLOOKUP($C127,'Test Case Catalogue'!$A$6:$M$90,4,FALSE),""))</f>
        <v/>
      </c>
      <c r="F127" s="4" t="str">
        <f>IF($C127="","",IFERROR(VLOOKUP($C127,'Test Case Catalogue'!$A$6:$M$90,9,FALSE),""))</f>
        <v/>
      </c>
      <c r="G127" s="4" t="str">
        <f>IF($C127="","",IFERROR(VLOOKUP($C127,'Test Case Catalogue'!$A$6:$M$90,10,FALSE),""))</f>
        <v/>
      </c>
      <c r="H127" s="4"/>
      <c r="I127" s="4"/>
      <c r="J127" s="8"/>
      <c r="K127" s="4"/>
      <c r="L127" s="4"/>
      <c r="M127" s="4"/>
      <c r="N127" s="4"/>
      <c r="O127" s="4"/>
    </row>
    <row r="128" spans="1:15" ht="58.05" customHeight="1">
      <c r="A128" s="4"/>
      <c r="B128" s="4"/>
      <c r="C128" s="4"/>
      <c r="D128" s="4" t="str">
        <f>IF($C128="","",IFERROR(VLOOKUP($C128,'Test Case Catalogue'!$A$6:$M$90,2,FALSE),""))</f>
        <v/>
      </c>
      <c r="E128" s="4" t="str">
        <f>IF($C128="","",IFERROR(VLOOKUP($C128,'Test Case Catalogue'!$A$6:$M$90,4,FALSE),""))</f>
        <v/>
      </c>
      <c r="F128" s="4" t="str">
        <f>IF($C128="","",IFERROR(VLOOKUP($C128,'Test Case Catalogue'!$A$6:$M$90,9,FALSE),""))</f>
        <v/>
      </c>
      <c r="G128" s="4" t="str">
        <f>IF($C128="","",IFERROR(VLOOKUP($C128,'Test Case Catalogue'!$A$6:$M$90,10,FALSE),""))</f>
        <v/>
      </c>
      <c r="H128" s="4"/>
      <c r="I128" s="4"/>
      <c r="J128" s="8"/>
      <c r="K128" s="4"/>
      <c r="L128" s="4"/>
      <c r="M128" s="4"/>
      <c r="N128" s="4"/>
      <c r="O128" s="4"/>
    </row>
    <row r="129" spans="1:15" ht="58.05" customHeight="1">
      <c r="A129" s="4"/>
      <c r="B129" s="4"/>
      <c r="C129" s="4"/>
      <c r="D129" s="4" t="str">
        <f>IF($C129="","",IFERROR(VLOOKUP($C129,'Test Case Catalogue'!$A$6:$M$90,2,FALSE),""))</f>
        <v/>
      </c>
      <c r="E129" s="4" t="str">
        <f>IF($C129="","",IFERROR(VLOOKUP($C129,'Test Case Catalogue'!$A$6:$M$90,4,FALSE),""))</f>
        <v/>
      </c>
      <c r="F129" s="4" t="str">
        <f>IF($C129="","",IFERROR(VLOOKUP($C129,'Test Case Catalogue'!$A$6:$M$90,9,FALSE),""))</f>
        <v/>
      </c>
      <c r="G129" s="4" t="str">
        <f>IF($C129="","",IFERROR(VLOOKUP($C129,'Test Case Catalogue'!$A$6:$M$90,10,FALSE),""))</f>
        <v/>
      </c>
      <c r="H129" s="4"/>
      <c r="I129" s="4"/>
      <c r="J129" s="8"/>
      <c r="K129" s="4"/>
      <c r="L129" s="4"/>
      <c r="M129" s="4"/>
      <c r="N129" s="4"/>
      <c r="O129" s="4"/>
    </row>
    <row r="130" spans="1:15" ht="58.05" customHeight="1">
      <c r="A130" s="4"/>
      <c r="B130" s="4"/>
      <c r="C130" s="4"/>
      <c r="D130" s="4" t="str">
        <f>IF($C130="","",IFERROR(VLOOKUP($C130,'Test Case Catalogue'!$A$6:$M$90,2,FALSE),""))</f>
        <v/>
      </c>
      <c r="E130" s="4" t="str">
        <f>IF($C130="","",IFERROR(VLOOKUP($C130,'Test Case Catalogue'!$A$6:$M$90,4,FALSE),""))</f>
        <v/>
      </c>
      <c r="F130" s="4" t="str">
        <f>IF($C130="","",IFERROR(VLOOKUP($C130,'Test Case Catalogue'!$A$6:$M$90,9,FALSE),""))</f>
        <v/>
      </c>
      <c r="G130" s="4" t="str">
        <f>IF($C130="","",IFERROR(VLOOKUP($C130,'Test Case Catalogue'!$A$6:$M$90,10,FALSE),""))</f>
        <v/>
      </c>
      <c r="H130" s="4"/>
      <c r="I130" s="4"/>
      <c r="J130" s="8"/>
      <c r="K130" s="4"/>
      <c r="L130" s="4"/>
      <c r="M130" s="4"/>
      <c r="N130" s="4"/>
      <c r="O130" s="4"/>
    </row>
    <row r="131" spans="1:15" ht="58.05" customHeight="1">
      <c r="A131" s="4"/>
      <c r="B131" s="4"/>
      <c r="C131" s="4"/>
      <c r="D131" s="4" t="str">
        <f>IF($C131="","",IFERROR(VLOOKUP($C131,'Test Case Catalogue'!$A$6:$M$90,2,FALSE),""))</f>
        <v/>
      </c>
      <c r="E131" s="4" t="str">
        <f>IF($C131="","",IFERROR(VLOOKUP($C131,'Test Case Catalogue'!$A$6:$M$90,4,FALSE),""))</f>
        <v/>
      </c>
      <c r="F131" s="4" t="str">
        <f>IF($C131="","",IFERROR(VLOOKUP($C131,'Test Case Catalogue'!$A$6:$M$90,9,FALSE),""))</f>
        <v/>
      </c>
      <c r="G131" s="4" t="str">
        <f>IF($C131="","",IFERROR(VLOOKUP($C131,'Test Case Catalogue'!$A$6:$M$90,10,FALSE),""))</f>
        <v/>
      </c>
      <c r="H131" s="4"/>
      <c r="I131" s="4"/>
      <c r="J131" s="8"/>
      <c r="K131" s="4"/>
      <c r="L131" s="4"/>
      <c r="M131" s="4"/>
      <c r="N131" s="4"/>
      <c r="O131" s="4"/>
    </row>
    <row r="132" spans="1:15" ht="58.05" customHeight="1">
      <c r="A132" s="4"/>
      <c r="B132" s="4"/>
      <c r="C132" s="4"/>
      <c r="D132" s="4" t="str">
        <f>IF($C132="","",IFERROR(VLOOKUP($C132,'Test Case Catalogue'!$A$6:$M$90,2,FALSE),""))</f>
        <v/>
      </c>
      <c r="E132" s="4" t="str">
        <f>IF($C132="","",IFERROR(VLOOKUP($C132,'Test Case Catalogue'!$A$6:$M$90,4,FALSE),""))</f>
        <v/>
      </c>
      <c r="F132" s="4" t="str">
        <f>IF($C132="","",IFERROR(VLOOKUP($C132,'Test Case Catalogue'!$A$6:$M$90,9,FALSE),""))</f>
        <v/>
      </c>
      <c r="G132" s="4" t="str">
        <f>IF($C132="","",IFERROR(VLOOKUP($C132,'Test Case Catalogue'!$A$6:$M$90,10,FALSE),""))</f>
        <v/>
      </c>
      <c r="H132" s="4"/>
      <c r="I132" s="4"/>
      <c r="J132" s="8"/>
      <c r="K132" s="4"/>
      <c r="L132" s="4"/>
      <c r="M132" s="4"/>
      <c r="N132" s="4"/>
      <c r="O132" s="4"/>
    </row>
    <row r="133" spans="1:15" ht="58.05" customHeight="1">
      <c r="A133" s="4"/>
      <c r="B133" s="4"/>
      <c r="C133" s="4"/>
      <c r="D133" s="4" t="str">
        <f>IF($C133="","",IFERROR(VLOOKUP($C133,'Test Case Catalogue'!$A$6:$M$90,2,FALSE),""))</f>
        <v/>
      </c>
      <c r="E133" s="4" t="str">
        <f>IF($C133="","",IFERROR(VLOOKUP($C133,'Test Case Catalogue'!$A$6:$M$90,4,FALSE),""))</f>
        <v/>
      </c>
      <c r="F133" s="4" t="str">
        <f>IF($C133="","",IFERROR(VLOOKUP($C133,'Test Case Catalogue'!$A$6:$M$90,9,FALSE),""))</f>
        <v/>
      </c>
      <c r="G133" s="4" t="str">
        <f>IF($C133="","",IFERROR(VLOOKUP($C133,'Test Case Catalogue'!$A$6:$M$90,10,FALSE),""))</f>
        <v/>
      </c>
      <c r="H133" s="4"/>
      <c r="I133" s="4"/>
      <c r="J133" s="8"/>
      <c r="K133" s="4"/>
      <c r="L133" s="4"/>
      <c r="M133" s="4"/>
      <c r="N133" s="4"/>
      <c r="O133" s="4"/>
    </row>
    <row r="134" spans="1:15" ht="58.05" customHeight="1">
      <c r="A134" s="4"/>
      <c r="B134" s="4"/>
      <c r="C134" s="4"/>
      <c r="D134" s="4" t="str">
        <f>IF($C134="","",IFERROR(VLOOKUP($C134,'Test Case Catalogue'!$A$6:$M$90,2,FALSE),""))</f>
        <v/>
      </c>
      <c r="E134" s="4" t="str">
        <f>IF($C134="","",IFERROR(VLOOKUP($C134,'Test Case Catalogue'!$A$6:$M$90,4,FALSE),""))</f>
        <v/>
      </c>
      <c r="F134" s="4" t="str">
        <f>IF($C134="","",IFERROR(VLOOKUP($C134,'Test Case Catalogue'!$A$6:$M$90,9,FALSE),""))</f>
        <v/>
      </c>
      <c r="G134" s="4" t="str">
        <f>IF($C134="","",IFERROR(VLOOKUP($C134,'Test Case Catalogue'!$A$6:$M$90,10,FALSE),""))</f>
        <v/>
      </c>
      <c r="H134" s="4"/>
      <c r="I134" s="4"/>
      <c r="J134" s="8"/>
      <c r="K134" s="4"/>
      <c r="L134" s="4"/>
      <c r="M134" s="4"/>
      <c r="N134" s="4"/>
      <c r="O134" s="4"/>
    </row>
    <row r="135" spans="1:15" ht="58.05" customHeight="1">
      <c r="A135" s="4"/>
      <c r="B135" s="4"/>
      <c r="C135" s="4"/>
      <c r="D135" s="4" t="str">
        <f>IF($C135="","",IFERROR(VLOOKUP($C135,'Test Case Catalogue'!$A$6:$M$90,2,FALSE),""))</f>
        <v/>
      </c>
      <c r="E135" s="4" t="str">
        <f>IF($C135="","",IFERROR(VLOOKUP($C135,'Test Case Catalogue'!$A$6:$M$90,4,FALSE),""))</f>
        <v/>
      </c>
      <c r="F135" s="4" t="str">
        <f>IF($C135="","",IFERROR(VLOOKUP($C135,'Test Case Catalogue'!$A$6:$M$90,9,FALSE),""))</f>
        <v/>
      </c>
      <c r="G135" s="4" t="str">
        <f>IF($C135="","",IFERROR(VLOOKUP($C135,'Test Case Catalogue'!$A$6:$M$90,10,FALSE),""))</f>
        <v/>
      </c>
      <c r="H135" s="4"/>
      <c r="I135" s="4"/>
      <c r="J135" s="8"/>
      <c r="K135" s="4"/>
      <c r="L135" s="4"/>
      <c r="M135" s="4"/>
      <c r="N135" s="4"/>
      <c r="O135" s="4"/>
    </row>
    <row r="136" spans="1:15" ht="58.05" customHeight="1">
      <c r="A136" s="4"/>
      <c r="B136" s="4"/>
      <c r="C136" s="4"/>
      <c r="D136" s="4" t="str">
        <f>IF($C136="","",IFERROR(VLOOKUP($C136,'Test Case Catalogue'!$A$6:$M$90,2,FALSE),""))</f>
        <v/>
      </c>
      <c r="E136" s="4" t="str">
        <f>IF($C136="","",IFERROR(VLOOKUP($C136,'Test Case Catalogue'!$A$6:$M$90,4,FALSE),""))</f>
        <v/>
      </c>
      <c r="F136" s="4" t="str">
        <f>IF($C136="","",IFERROR(VLOOKUP($C136,'Test Case Catalogue'!$A$6:$M$90,9,FALSE),""))</f>
        <v/>
      </c>
      <c r="G136" s="4" t="str">
        <f>IF($C136="","",IFERROR(VLOOKUP($C136,'Test Case Catalogue'!$A$6:$M$90,10,FALSE),""))</f>
        <v/>
      </c>
      <c r="H136" s="4"/>
      <c r="I136" s="4"/>
      <c r="J136" s="8"/>
      <c r="K136" s="4"/>
      <c r="L136" s="4"/>
      <c r="M136" s="4"/>
      <c r="N136" s="4"/>
      <c r="O136" s="4"/>
    </row>
    <row r="137" spans="1:15" ht="58.05" customHeight="1">
      <c r="A137" s="4"/>
      <c r="B137" s="4"/>
      <c r="C137" s="4"/>
      <c r="D137" s="4" t="str">
        <f>IF($C137="","",IFERROR(VLOOKUP($C137,'Test Case Catalogue'!$A$6:$M$90,2,FALSE),""))</f>
        <v/>
      </c>
      <c r="E137" s="4" t="str">
        <f>IF($C137="","",IFERROR(VLOOKUP($C137,'Test Case Catalogue'!$A$6:$M$90,4,FALSE),""))</f>
        <v/>
      </c>
      <c r="F137" s="4" t="str">
        <f>IF($C137="","",IFERROR(VLOOKUP($C137,'Test Case Catalogue'!$A$6:$M$90,9,FALSE),""))</f>
        <v/>
      </c>
      <c r="G137" s="4" t="str">
        <f>IF($C137="","",IFERROR(VLOOKUP($C137,'Test Case Catalogue'!$A$6:$M$90,10,FALSE),""))</f>
        <v/>
      </c>
      <c r="H137" s="4"/>
      <c r="I137" s="4"/>
      <c r="J137" s="8"/>
      <c r="K137" s="4"/>
      <c r="L137" s="4"/>
      <c r="M137" s="4"/>
      <c r="N137" s="4"/>
      <c r="O137" s="4"/>
    </row>
    <row r="138" spans="1:15" ht="58.05" customHeight="1">
      <c r="A138" s="4"/>
      <c r="B138" s="4"/>
      <c r="C138" s="4"/>
      <c r="D138" s="4" t="str">
        <f>IF($C138="","",IFERROR(VLOOKUP($C138,'Test Case Catalogue'!$A$6:$M$90,2,FALSE),""))</f>
        <v/>
      </c>
      <c r="E138" s="4" t="str">
        <f>IF($C138="","",IFERROR(VLOOKUP($C138,'Test Case Catalogue'!$A$6:$M$90,4,FALSE),""))</f>
        <v/>
      </c>
      <c r="F138" s="4" t="str">
        <f>IF($C138="","",IFERROR(VLOOKUP($C138,'Test Case Catalogue'!$A$6:$M$90,9,FALSE),""))</f>
        <v/>
      </c>
      <c r="G138" s="4" t="str">
        <f>IF($C138="","",IFERROR(VLOOKUP($C138,'Test Case Catalogue'!$A$6:$M$90,10,FALSE),""))</f>
        <v/>
      </c>
      <c r="H138" s="4"/>
      <c r="I138" s="4"/>
      <c r="J138" s="8"/>
      <c r="K138" s="4"/>
      <c r="L138" s="4"/>
      <c r="M138" s="4"/>
      <c r="N138" s="4"/>
      <c r="O138" s="4"/>
    </row>
    <row r="139" spans="1:15" ht="58.05" customHeight="1">
      <c r="A139" s="4"/>
      <c r="B139" s="4"/>
      <c r="C139" s="4"/>
      <c r="D139" s="4" t="str">
        <f>IF($C139="","",IFERROR(VLOOKUP($C139,'Test Case Catalogue'!$A$6:$M$90,2,FALSE),""))</f>
        <v/>
      </c>
      <c r="E139" s="4" t="str">
        <f>IF($C139="","",IFERROR(VLOOKUP($C139,'Test Case Catalogue'!$A$6:$M$90,4,FALSE),""))</f>
        <v/>
      </c>
      <c r="F139" s="4" t="str">
        <f>IF($C139="","",IFERROR(VLOOKUP($C139,'Test Case Catalogue'!$A$6:$M$90,9,FALSE),""))</f>
        <v/>
      </c>
      <c r="G139" s="4" t="str">
        <f>IF($C139="","",IFERROR(VLOOKUP($C139,'Test Case Catalogue'!$A$6:$M$90,10,FALSE),""))</f>
        <v/>
      </c>
      <c r="H139" s="4"/>
      <c r="I139" s="4"/>
      <c r="J139" s="8"/>
      <c r="K139" s="4"/>
      <c r="L139" s="4"/>
      <c r="M139" s="4"/>
      <c r="N139" s="4"/>
      <c r="O139" s="4"/>
    </row>
    <row r="140" spans="1:15" ht="58.05" customHeight="1">
      <c r="A140" s="4"/>
      <c r="B140" s="4"/>
      <c r="C140" s="4"/>
      <c r="D140" s="4" t="str">
        <f>IF($C140="","",IFERROR(VLOOKUP($C140,'Test Case Catalogue'!$A$6:$M$90,2,FALSE),""))</f>
        <v/>
      </c>
      <c r="E140" s="4" t="str">
        <f>IF($C140="","",IFERROR(VLOOKUP($C140,'Test Case Catalogue'!$A$6:$M$90,4,FALSE),""))</f>
        <v/>
      </c>
      <c r="F140" s="4" t="str">
        <f>IF($C140="","",IFERROR(VLOOKUP($C140,'Test Case Catalogue'!$A$6:$M$90,9,FALSE),""))</f>
        <v/>
      </c>
      <c r="G140" s="4" t="str">
        <f>IF($C140="","",IFERROR(VLOOKUP($C140,'Test Case Catalogue'!$A$6:$M$90,10,FALSE),""))</f>
        <v/>
      </c>
      <c r="H140" s="4"/>
      <c r="I140" s="4"/>
      <c r="J140" s="8"/>
      <c r="K140" s="4"/>
      <c r="L140" s="4"/>
      <c r="M140" s="4"/>
      <c r="N140" s="4"/>
      <c r="O140" s="4"/>
    </row>
    <row r="141" spans="1:15" ht="58.05" customHeight="1">
      <c r="A141" s="4"/>
      <c r="B141" s="4"/>
      <c r="C141" s="4"/>
      <c r="D141" s="4" t="str">
        <f>IF($C141="","",IFERROR(VLOOKUP($C141,'Test Case Catalogue'!$A$6:$M$90,2,FALSE),""))</f>
        <v/>
      </c>
      <c r="E141" s="4" t="str">
        <f>IF($C141="","",IFERROR(VLOOKUP($C141,'Test Case Catalogue'!$A$6:$M$90,4,FALSE),""))</f>
        <v/>
      </c>
      <c r="F141" s="4" t="str">
        <f>IF($C141="","",IFERROR(VLOOKUP($C141,'Test Case Catalogue'!$A$6:$M$90,9,FALSE),""))</f>
        <v/>
      </c>
      <c r="G141" s="4" t="str">
        <f>IF($C141="","",IFERROR(VLOOKUP($C141,'Test Case Catalogue'!$A$6:$M$90,10,FALSE),""))</f>
        <v/>
      </c>
      <c r="H141" s="4"/>
      <c r="I141" s="4"/>
      <c r="J141" s="8"/>
      <c r="K141" s="4"/>
      <c r="L141" s="4"/>
      <c r="M141" s="4"/>
      <c r="N141" s="4"/>
      <c r="O141" s="4"/>
    </row>
    <row r="142" spans="1:15" ht="58.05" customHeight="1">
      <c r="A142" s="4"/>
      <c r="B142" s="4"/>
      <c r="C142" s="4"/>
      <c r="D142" s="4" t="str">
        <f>IF($C142="","",IFERROR(VLOOKUP($C142,'Test Case Catalogue'!$A$6:$M$90,2,FALSE),""))</f>
        <v/>
      </c>
      <c r="E142" s="4" t="str">
        <f>IF($C142="","",IFERROR(VLOOKUP($C142,'Test Case Catalogue'!$A$6:$M$90,4,FALSE),""))</f>
        <v/>
      </c>
      <c r="F142" s="4" t="str">
        <f>IF($C142="","",IFERROR(VLOOKUP($C142,'Test Case Catalogue'!$A$6:$M$90,9,FALSE),""))</f>
        <v/>
      </c>
      <c r="G142" s="4" t="str">
        <f>IF($C142="","",IFERROR(VLOOKUP($C142,'Test Case Catalogue'!$A$6:$M$90,10,FALSE),""))</f>
        <v/>
      </c>
      <c r="H142" s="4"/>
      <c r="I142" s="4"/>
      <c r="J142" s="8"/>
      <c r="K142" s="4"/>
      <c r="L142" s="4"/>
      <c r="M142" s="4"/>
      <c r="N142" s="4"/>
      <c r="O142" s="4"/>
    </row>
    <row r="143" spans="1:15" ht="58.05" customHeight="1">
      <c r="A143" s="4"/>
      <c r="B143" s="4"/>
      <c r="C143" s="4"/>
      <c r="D143" s="4" t="str">
        <f>IF($C143="","",IFERROR(VLOOKUP($C143,'Test Case Catalogue'!$A$6:$M$90,2,FALSE),""))</f>
        <v/>
      </c>
      <c r="E143" s="4" t="str">
        <f>IF($C143="","",IFERROR(VLOOKUP($C143,'Test Case Catalogue'!$A$6:$M$90,4,FALSE),""))</f>
        <v/>
      </c>
      <c r="F143" s="4" t="str">
        <f>IF($C143="","",IFERROR(VLOOKUP($C143,'Test Case Catalogue'!$A$6:$M$90,9,FALSE),""))</f>
        <v/>
      </c>
      <c r="G143" s="4" t="str">
        <f>IF($C143="","",IFERROR(VLOOKUP($C143,'Test Case Catalogue'!$A$6:$M$90,10,FALSE),""))</f>
        <v/>
      </c>
      <c r="H143" s="4"/>
      <c r="I143" s="4"/>
      <c r="J143" s="8"/>
      <c r="K143" s="4"/>
      <c r="L143" s="4"/>
      <c r="M143" s="4"/>
      <c r="N143" s="4"/>
      <c r="O143" s="4"/>
    </row>
    <row r="144" spans="1:15" ht="58.05" customHeight="1">
      <c r="A144" s="4"/>
      <c r="B144" s="4"/>
      <c r="C144" s="4"/>
      <c r="D144" s="4" t="str">
        <f>IF($C144="","",IFERROR(VLOOKUP($C144,'Test Case Catalogue'!$A$6:$M$90,2,FALSE),""))</f>
        <v/>
      </c>
      <c r="E144" s="4" t="str">
        <f>IF($C144="","",IFERROR(VLOOKUP($C144,'Test Case Catalogue'!$A$6:$M$90,4,FALSE),""))</f>
        <v/>
      </c>
      <c r="F144" s="4" t="str">
        <f>IF($C144="","",IFERROR(VLOOKUP($C144,'Test Case Catalogue'!$A$6:$M$90,9,FALSE),""))</f>
        <v/>
      </c>
      <c r="G144" s="4" t="str">
        <f>IF($C144="","",IFERROR(VLOOKUP($C144,'Test Case Catalogue'!$A$6:$M$90,10,FALSE),""))</f>
        <v/>
      </c>
      <c r="H144" s="4"/>
      <c r="I144" s="4"/>
      <c r="J144" s="8"/>
      <c r="K144" s="4"/>
      <c r="L144" s="4"/>
      <c r="M144" s="4"/>
      <c r="N144" s="4"/>
      <c r="O144" s="4"/>
    </row>
    <row r="145" spans="1:15" ht="58.05" customHeight="1">
      <c r="A145" s="4"/>
      <c r="B145" s="4"/>
      <c r="C145" s="4"/>
      <c r="D145" s="4" t="str">
        <f>IF($C145="","",IFERROR(VLOOKUP($C145,'Test Case Catalogue'!$A$6:$M$90,2,FALSE),""))</f>
        <v/>
      </c>
      <c r="E145" s="4" t="str">
        <f>IF($C145="","",IFERROR(VLOOKUP($C145,'Test Case Catalogue'!$A$6:$M$90,4,FALSE),""))</f>
        <v/>
      </c>
      <c r="F145" s="4" t="str">
        <f>IF($C145="","",IFERROR(VLOOKUP($C145,'Test Case Catalogue'!$A$6:$M$90,9,FALSE),""))</f>
        <v/>
      </c>
      <c r="G145" s="4" t="str">
        <f>IF($C145="","",IFERROR(VLOOKUP($C145,'Test Case Catalogue'!$A$6:$M$90,10,FALSE),""))</f>
        <v/>
      </c>
      <c r="H145" s="4"/>
      <c r="I145" s="4"/>
      <c r="J145" s="8"/>
      <c r="K145" s="4"/>
      <c r="L145" s="4"/>
      <c r="M145" s="4"/>
      <c r="N145" s="4"/>
      <c r="O145" s="4"/>
    </row>
    <row r="146" spans="1:15" ht="58.05" customHeight="1">
      <c r="A146" s="4"/>
      <c r="B146" s="4"/>
      <c r="C146" s="4"/>
      <c r="D146" s="4" t="str">
        <f>IF($C146="","",IFERROR(VLOOKUP($C146,'Test Case Catalogue'!$A$6:$M$90,2,FALSE),""))</f>
        <v/>
      </c>
      <c r="E146" s="4" t="str">
        <f>IF($C146="","",IFERROR(VLOOKUP($C146,'Test Case Catalogue'!$A$6:$M$90,4,FALSE),""))</f>
        <v/>
      </c>
      <c r="F146" s="4" t="str">
        <f>IF($C146="","",IFERROR(VLOOKUP($C146,'Test Case Catalogue'!$A$6:$M$90,9,FALSE),""))</f>
        <v/>
      </c>
      <c r="G146" s="4" t="str">
        <f>IF($C146="","",IFERROR(VLOOKUP($C146,'Test Case Catalogue'!$A$6:$M$90,10,FALSE),""))</f>
        <v/>
      </c>
      <c r="H146" s="4"/>
      <c r="I146" s="4"/>
      <c r="J146" s="8"/>
      <c r="K146" s="4"/>
      <c r="L146" s="4"/>
      <c r="M146" s="4"/>
      <c r="N146" s="4"/>
      <c r="O146" s="4"/>
    </row>
    <row r="147" spans="1:15" ht="58.05" customHeight="1">
      <c r="A147" s="4"/>
      <c r="B147" s="4"/>
      <c r="C147" s="4"/>
      <c r="D147" s="4" t="str">
        <f>IF($C147="","",IFERROR(VLOOKUP($C147,'Test Case Catalogue'!$A$6:$M$90,2,FALSE),""))</f>
        <v/>
      </c>
      <c r="E147" s="4" t="str">
        <f>IF($C147="","",IFERROR(VLOOKUP($C147,'Test Case Catalogue'!$A$6:$M$90,4,FALSE),""))</f>
        <v/>
      </c>
      <c r="F147" s="4" t="str">
        <f>IF($C147="","",IFERROR(VLOOKUP($C147,'Test Case Catalogue'!$A$6:$M$90,9,FALSE),""))</f>
        <v/>
      </c>
      <c r="G147" s="4" t="str">
        <f>IF($C147="","",IFERROR(VLOOKUP($C147,'Test Case Catalogue'!$A$6:$M$90,10,FALSE),""))</f>
        <v/>
      </c>
      <c r="H147" s="4"/>
      <c r="I147" s="4"/>
      <c r="J147" s="8"/>
      <c r="K147" s="4"/>
      <c r="L147" s="4"/>
      <c r="M147" s="4"/>
      <c r="N147" s="4"/>
      <c r="O147" s="4"/>
    </row>
    <row r="148" spans="1:15" ht="58.05" customHeight="1">
      <c r="A148" s="4"/>
      <c r="B148" s="4"/>
      <c r="C148" s="4"/>
      <c r="D148" s="4" t="str">
        <f>IF($C148="","",IFERROR(VLOOKUP($C148,'Test Case Catalogue'!$A$6:$M$90,2,FALSE),""))</f>
        <v/>
      </c>
      <c r="E148" s="4" t="str">
        <f>IF($C148="","",IFERROR(VLOOKUP($C148,'Test Case Catalogue'!$A$6:$M$90,4,FALSE),""))</f>
        <v/>
      </c>
      <c r="F148" s="4" t="str">
        <f>IF($C148="","",IFERROR(VLOOKUP($C148,'Test Case Catalogue'!$A$6:$M$90,9,FALSE),""))</f>
        <v/>
      </c>
      <c r="G148" s="4" t="str">
        <f>IF($C148="","",IFERROR(VLOOKUP($C148,'Test Case Catalogue'!$A$6:$M$90,10,FALSE),""))</f>
        <v/>
      </c>
      <c r="H148" s="4"/>
      <c r="I148" s="4"/>
      <c r="J148" s="8"/>
      <c r="K148" s="4"/>
      <c r="L148" s="4"/>
      <c r="M148" s="4"/>
      <c r="N148" s="4"/>
      <c r="O148" s="4"/>
    </row>
    <row r="149" spans="1:15" ht="58.05" customHeight="1">
      <c r="A149" s="4"/>
      <c r="B149" s="4"/>
      <c r="C149" s="4"/>
      <c r="D149" s="4" t="str">
        <f>IF($C149="","",IFERROR(VLOOKUP($C149,'Test Case Catalogue'!$A$6:$M$90,2,FALSE),""))</f>
        <v/>
      </c>
      <c r="E149" s="4" t="str">
        <f>IF($C149="","",IFERROR(VLOOKUP($C149,'Test Case Catalogue'!$A$6:$M$90,4,FALSE),""))</f>
        <v/>
      </c>
      <c r="F149" s="4" t="str">
        <f>IF($C149="","",IFERROR(VLOOKUP($C149,'Test Case Catalogue'!$A$6:$M$90,9,FALSE),""))</f>
        <v/>
      </c>
      <c r="G149" s="4" t="str">
        <f>IF($C149="","",IFERROR(VLOOKUP($C149,'Test Case Catalogue'!$A$6:$M$90,10,FALSE),""))</f>
        <v/>
      </c>
      <c r="H149" s="4"/>
      <c r="I149" s="4"/>
      <c r="J149" s="8"/>
      <c r="K149" s="4"/>
      <c r="L149" s="4"/>
      <c r="M149" s="4"/>
      <c r="N149" s="4"/>
      <c r="O149" s="4"/>
    </row>
    <row r="150" spans="1:15" ht="58.05" customHeight="1">
      <c r="A150" s="4"/>
      <c r="B150" s="4"/>
      <c r="C150" s="4"/>
      <c r="D150" s="4" t="str">
        <f>IF($C150="","",IFERROR(VLOOKUP($C150,'Test Case Catalogue'!$A$6:$M$90,2,FALSE),""))</f>
        <v/>
      </c>
      <c r="E150" s="4" t="str">
        <f>IF($C150="","",IFERROR(VLOOKUP($C150,'Test Case Catalogue'!$A$6:$M$90,4,FALSE),""))</f>
        <v/>
      </c>
      <c r="F150" s="4" t="str">
        <f>IF($C150="","",IFERROR(VLOOKUP($C150,'Test Case Catalogue'!$A$6:$M$90,9,FALSE),""))</f>
        <v/>
      </c>
      <c r="G150" s="4" t="str">
        <f>IF($C150="","",IFERROR(VLOOKUP($C150,'Test Case Catalogue'!$A$6:$M$90,10,FALSE),""))</f>
        <v/>
      </c>
      <c r="H150" s="4"/>
      <c r="I150" s="4"/>
      <c r="J150" s="8"/>
      <c r="K150" s="4"/>
      <c r="L150" s="4"/>
      <c r="M150" s="4"/>
      <c r="N150" s="4"/>
      <c r="O150" s="4"/>
    </row>
    <row r="151" spans="1:15" ht="58.05" customHeight="1">
      <c r="A151" s="4"/>
      <c r="B151" s="4"/>
      <c r="C151" s="4"/>
      <c r="D151" s="4" t="str">
        <f>IF($C151="","",IFERROR(VLOOKUP($C151,'Test Case Catalogue'!$A$6:$M$90,2,FALSE),""))</f>
        <v/>
      </c>
      <c r="E151" s="4" t="str">
        <f>IF($C151="","",IFERROR(VLOOKUP($C151,'Test Case Catalogue'!$A$6:$M$90,4,FALSE),""))</f>
        <v/>
      </c>
      <c r="F151" s="4" t="str">
        <f>IF($C151="","",IFERROR(VLOOKUP($C151,'Test Case Catalogue'!$A$6:$M$90,9,FALSE),""))</f>
        <v/>
      </c>
      <c r="G151" s="4" t="str">
        <f>IF($C151="","",IFERROR(VLOOKUP($C151,'Test Case Catalogue'!$A$6:$M$90,10,FALSE),""))</f>
        <v/>
      </c>
      <c r="H151" s="4"/>
      <c r="I151" s="4"/>
      <c r="J151" s="8"/>
      <c r="K151" s="4"/>
      <c r="L151" s="4"/>
      <c r="M151" s="4"/>
      <c r="N151" s="4"/>
      <c r="O151" s="4"/>
    </row>
    <row r="152" spans="1:15" ht="58.05" customHeight="1">
      <c r="A152" s="4"/>
      <c r="B152" s="4"/>
      <c r="C152" s="4"/>
      <c r="D152" s="4" t="str">
        <f>IF($C152="","",IFERROR(VLOOKUP($C152,'Test Case Catalogue'!$A$6:$M$90,2,FALSE),""))</f>
        <v/>
      </c>
      <c r="E152" s="4" t="str">
        <f>IF($C152="","",IFERROR(VLOOKUP($C152,'Test Case Catalogue'!$A$6:$M$90,4,FALSE),""))</f>
        <v/>
      </c>
      <c r="F152" s="4" t="str">
        <f>IF($C152="","",IFERROR(VLOOKUP($C152,'Test Case Catalogue'!$A$6:$M$90,9,FALSE),""))</f>
        <v/>
      </c>
      <c r="G152" s="4" t="str">
        <f>IF($C152="","",IFERROR(VLOOKUP($C152,'Test Case Catalogue'!$A$6:$M$90,10,FALSE),""))</f>
        <v/>
      </c>
      <c r="H152" s="4"/>
      <c r="I152" s="4"/>
      <c r="J152" s="8"/>
      <c r="K152" s="4"/>
      <c r="L152" s="4"/>
      <c r="M152" s="4"/>
      <c r="N152" s="4"/>
      <c r="O152" s="4"/>
    </row>
    <row r="153" spans="1:15" ht="58.05" customHeight="1">
      <c r="A153" s="4"/>
      <c r="B153" s="4"/>
      <c r="C153" s="4"/>
      <c r="D153" s="4" t="str">
        <f>IF($C153="","",IFERROR(VLOOKUP($C153,'Test Case Catalogue'!$A$6:$M$90,2,FALSE),""))</f>
        <v/>
      </c>
      <c r="E153" s="4" t="str">
        <f>IF($C153="","",IFERROR(VLOOKUP($C153,'Test Case Catalogue'!$A$6:$M$90,4,FALSE),""))</f>
        <v/>
      </c>
      <c r="F153" s="4" t="str">
        <f>IF($C153="","",IFERROR(VLOOKUP($C153,'Test Case Catalogue'!$A$6:$M$90,9,FALSE),""))</f>
        <v/>
      </c>
      <c r="G153" s="4" t="str">
        <f>IF($C153="","",IFERROR(VLOOKUP($C153,'Test Case Catalogue'!$A$6:$M$90,10,FALSE),""))</f>
        <v/>
      </c>
      <c r="H153" s="4"/>
      <c r="I153" s="4"/>
      <c r="J153" s="8"/>
      <c r="K153" s="4"/>
      <c r="L153" s="4"/>
      <c r="M153" s="4"/>
      <c r="N153" s="4"/>
      <c r="O153" s="4"/>
    </row>
    <row r="154" spans="1:15" ht="58.05" customHeight="1">
      <c r="A154" s="4"/>
      <c r="B154" s="4"/>
      <c r="C154" s="4"/>
      <c r="D154" s="4" t="str">
        <f>IF($C154="","",IFERROR(VLOOKUP($C154,'Test Case Catalogue'!$A$6:$M$90,2,FALSE),""))</f>
        <v/>
      </c>
      <c r="E154" s="4" t="str">
        <f>IF($C154="","",IFERROR(VLOOKUP($C154,'Test Case Catalogue'!$A$6:$M$90,4,FALSE),""))</f>
        <v/>
      </c>
      <c r="F154" s="4" t="str">
        <f>IF($C154="","",IFERROR(VLOOKUP($C154,'Test Case Catalogue'!$A$6:$M$90,9,FALSE),""))</f>
        <v/>
      </c>
      <c r="G154" s="4" t="str">
        <f>IF($C154="","",IFERROR(VLOOKUP($C154,'Test Case Catalogue'!$A$6:$M$90,10,FALSE),""))</f>
        <v/>
      </c>
      <c r="H154" s="4"/>
      <c r="I154" s="4"/>
      <c r="J154" s="8"/>
      <c r="K154" s="4"/>
      <c r="L154" s="4"/>
      <c r="M154" s="4"/>
      <c r="N154" s="4"/>
      <c r="O154" s="4"/>
    </row>
    <row r="155" spans="1:15" ht="58.05" customHeight="1">
      <c r="A155" s="4"/>
      <c r="B155" s="4"/>
      <c r="C155" s="4"/>
      <c r="D155" s="4" t="str">
        <f>IF($C155="","",IFERROR(VLOOKUP($C155,'Test Case Catalogue'!$A$6:$M$90,2,FALSE),""))</f>
        <v/>
      </c>
      <c r="E155" s="4" t="str">
        <f>IF($C155="","",IFERROR(VLOOKUP($C155,'Test Case Catalogue'!$A$6:$M$90,4,FALSE),""))</f>
        <v/>
      </c>
      <c r="F155" s="4" t="str">
        <f>IF($C155="","",IFERROR(VLOOKUP($C155,'Test Case Catalogue'!$A$6:$M$90,9,FALSE),""))</f>
        <v/>
      </c>
      <c r="G155" s="4" t="str">
        <f>IF($C155="","",IFERROR(VLOOKUP($C155,'Test Case Catalogue'!$A$6:$M$90,10,FALSE),""))</f>
        <v/>
      </c>
      <c r="H155" s="4"/>
      <c r="I155" s="4"/>
      <c r="J155" s="8"/>
      <c r="K155" s="4"/>
      <c r="L155" s="4"/>
      <c r="M155" s="4"/>
      <c r="N155" s="4"/>
      <c r="O155" s="4"/>
    </row>
    <row r="156" spans="1:15" ht="58.05" customHeight="1">
      <c r="A156" s="4"/>
      <c r="B156" s="4"/>
      <c r="C156" s="4"/>
      <c r="D156" s="4" t="str">
        <f>IF($C156="","",IFERROR(VLOOKUP($C156,'Test Case Catalogue'!$A$6:$M$90,2,FALSE),""))</f>
        <v/>
      </c>
      <c r="E156" s="4" t="str">
        <f>IF($C156="","",IFERROR(VLOOKUP($C156,'Test Case Catalogue'!$A$6:$M$90,4,FALSE),""))</f>
        <v/>
      </c>
      <c r="F156" s="4" t="str">
        <f>IF($C156="","",IFERROR(VLOOKUP($C156,'Test Case Catalogue'!$A$6:$M$90,9,FALSE),""))</f>
        <v/>
      </c>
      <c r="G156" s="4" t="str">
        <f>IF($C156="","",IFERROR(VLOOKUP($C156,'Test Case Catalogue'!$A$6:$M$90,10,FALSE),""))</f>
        <v/>
      </c>
      <c r="H156" s="4"/>
      <c r="I156" s="4"/>
      <c r="J156" s="8"/>
      <c r="K156" s="4"/>
      <c r="L156" s="4"/>
      <c r="M156" s="4"/>
      <c r="N156" s="4"/>
      <c r="O156" s="4"/>
    </row>
    <row r="157" spans="1:15" ht="58.05" customHeight="1">
      <c r="A157" s="4"/>
      <c r="B157" s="4"/>
      <c r="C157" s="4"/>
      <c r="D157" s="4" t="str">
        <f>IF($C157="","",IFERROR(VLOOKUP($C157,'Test Case Catalogue'!$A$6:$M$90,2,FALSE),""))</f>
        <v/>
      </c>
      <c r="E157" s="4" t="str">
        <f>IF($C157="","",IFERROR(VLOOKUP($C157,'Test Case Catalogue'!$A$6:$M$90,4,FALSE),""))</f>
        <v/>
      </c>
      <c r="F157" s="4" t="str">
        <f>IF($C157="","",IFERROR(VLOOKUP($C157,'Test Case Catalogue'!$A$6:$M$90,9,FALSE),""))</f>
        <v/>
      </c>
      <c r="G157" s="4" t="str">
        <f>IF($C157="","",IFERROR(VLOOKUP($C157,'Test Case Catalogue'!$A$6:$M$90,10,FALSE),""))</f>
        <v/>
      </c>
      <c r="H157" s="4"/>
      <c r="I157" s="4"/>
      <c r="J157" s="8"/>
      <c r="K157" s="4"/>
      <c r="L157" s="4"/>
      <c r="M157" s="4"/>
      <c r="N157" s="4"/>
      <c r="O157" s="4"/>
    </row>
    <row r="158" spans="1:15" ht="58.05" customHeight="1">
      <c r="A158" s="4"/>
      <c r="B158" s="4"/>
      <c r="C158" s="4"/>
      <c r="D158" s="4" t="str">
        <f>IF($C158="","",IFERROR(VLOOKUP($C158,'Test Case Catalogue'!$A$6:$M$90,2,FALSE),""))</f>
        <v/>
      </c>
      <c r="E158" s="4" t="str">
        <f>IF($C158="","",IFERROR(VLOOKUP($C158,'Test Case Catalogue'!$A$6:$M$90,4,FALSE),""))</f>
        <v/>
      </c>
      <c r="F158" s="4" t="str">
        <f>IF($C158="","",IFERROR(VLOOKUP($C158,'Test Case Catalogue'!$A$6:$M$90,9,FALSE),""))</f>
        <v/>
      </c>
      <c r="G158" s="4" t="str">
        <f>IF($C158="","",IFERROR(VLOOKUP($C158,'Test Case Catalogue'!$A$6:$M$90,10,FALSE),""))</f>
        <v/>
      </c>
      <c r="H158" s="4"/>
      <c r="I158" s="4"/>
      <c r="J158" s="8"/>
      <c r="K158" s="4"/>
      <c r="L158" s="4"/>
      <c r="M158" s="4"/>
      <c r="N158" s="4"/>
      <c r="O158" s="4"/>
    </row>
    <row r="159" spans="1:15" ht="58.05" customHeight="1">
      <c r="A159" s="4"/>
      <c r="B159" s="4"/>
      <c r="C159" s="4"/>
      <c r="D159" s="4" t="str">
        <f>IF($C159="","",IFERROR(VLOOKUP($C159,'Test Case Catalogue'!$A$6:$M$90,2,FALSE),""))</f>
        <v/>
      </c>
      <c r="E159" s="4" t="str">
        <f>IF($C159="","",IFERROR(VLOOKUP($C159,'Test Case Catalogue'!$A$6:$M$90,4,FALSE),""))</f>
        <v/>
      </c>
      <c r="F159" s="4" t="str">
        <f>IF($C159="","",IFERROR(VLOOKUP($C159,'Test Case Catalogue'!$A$6:$M$90,9,FALSE),""))</f>
        <v/>
      </c>
      <c r="G159" s="4" t="str">
        <f>IF($C159="","",IFERROR(VLOOKUP($C159,'Test Case Catalogue'!$A$6:$M$90,10,FALSE),""))</f>
        <v/>
      </c>
      <c r="H159" s="4"/>
      <c r="I159" s="4"/>
      <c r="J159" s="8"/>
      <c r="K159" s="4"/>
      <c r="L159" s="4"/>
      <c r="M159" s="4"/>
      <c r="N159" s="4"/>
      <c r="O159" s="4"/>
    </row>
    <row r="160" spans="1:15" ht="58.05" customHeight="1">
      <c r="A160" s="4"/>
      <c r="B160" s="4"/>
      <c r="C160" s="4"/>
      <c r="D160" s="4" t="str">
        <f>IF($C160="","",IFERROR(VLOOKUP($C160,'Test Case Catalogue'!$A$6:$M$90,2,FALSE),""))</f>
        <v/>
      </c>
      <c r="E160" s="4" t="str">
        <f>IF($C160="","",IFERROR(VLOOKUP($C160,'Test Case Catalogue'!$A$6:$M$90,4,FALSE),""))</f>
        <v/>
      </c>
      <c r="F160" s="4" t="str">
        <f>IF($C160="","",IFERROR(VLOOKUP($C160,'Test Case Catalogue'!$A$6:$M$90,9,FALSE),""))</f>
        <v/>
      </c>
      <c r="G160" s="4" t="str">
        <f>IF($C160="","",IFERROR(VLOOKUP($C160,'Test Case Catalogue'!$A$6:$M$90,10,FALSE),""))</f>
        <v/>
      </c>
      <c r="H160" s="4"/>
      <c r="I160" s="4"/>
      <c r="J160" s="8"/>
      <c r="K160" s="4"/>
      <c r="L160" s="4"/>
      <c r="M160" s="4"/>
      <c r="N160" s="4"/>
      <c r="O160" s="4"/>
    </row>
    <row r="161" spans="1:15" ht="58.05" customHeight="1">
      <c r="A161" s="4"/>
      <c r="B161" s="4"/>
      <c r="C161" s="4"/>
      <c r="D161" s="4" t="str">
        <f>IF($C161="","",IFERROR(VLOOKUP($C161,'Test Case Catalogue'!$A$6:$M$90,2,FALSE),""))</f>
        <v/>
      </c>
      <c r="E161" s="4" t="str">
        <f>IF($C161="","",IFERROR(VLOOKUP($C161,'Test Case Catalogue'!$A$6:$M$90,4,FALSE),""))</f>
        <v/>
      </c>
      <c r="F161" s="4" t="str">
        <f>IF($C161="","",IFERROR(VLOOKUP($C161,'Test Case Catalogue'!$A$6:$M$90,9,FALSE),""))</f>
        <v/>
      </c>
      <c r="G161" s="4" t="str">
        <f>IF($C161="","",IFERROR(VLOOKUP($C161,'Test Case Catalogue'!$A$6:$M$90,10,FALSE),""))</f>
        <v/>
      </c>
      <c r="H161" s="4"/>
      <c r="I161" s="4"/>
      <c r="J161" s="8"/>
      <c r="K161" s="4"/>
      <c r="L161" s="4"/>
      <c r="M161" s="4"/>
      <c r="N161" s="4"/>
      <c r="O161" s="4"/>
    </row>
    <row r="162" spans="1:15" ht="58.05" customHeight="1">
      <c r="A162" s="4"/>
      <c r="B162" s="4"/>
      <c r="C162" s="4"/>
      <c r="D162" s="4" t="str">
        <f>IF($C162="","",IFERROR(VLOOKUP($C162,'Test Case Catalogue'!$A$6:$M$90,2,FALSE),""))</f>
        <v/>
      </c>
      <c r="E162" s="4" t="str">
        <f>IF($C162="","",IFERROR(VLOOKUP($C162,'Test Case Catalogue'!$A$6:$M$90,4,FALSE),""))</f>
        <v/>
      </c>
      <c r="F162" s="4" t="str">
        <f>IF($C162="","",IFERROR(VLOOKUP($C162,'Test Case Catalogue'!$A$6:$M$90,9,FALSE),""))</f>
        <v/>
      </c>
      <c r="G162" s="4" t="str">
        <f>IF($C162="","",IFERROR(VLOOKUP($C162,'Test Case Catalogue'!$A$6:$M$90,10,FALSE),""))</f>
        <v/>
      </c>
      <c r="H162" s="4"/>
      <c r="I162" s="4"/>
      <c r="J162" s="8"/>
      <c r="K162" s="4"/>
      <c r="L162" s="4"/>
      <c r="M162" s="4"/>
      <c r="N162" s="4"/>
      <c r="O162" s="4"/>
    </row>
    <row r="163" spans="1:15" ht="58.05" customHeight="1">
      <c r="A163" s="4"/>
      <c r="B163" s="4"/>
      <c r="C163" s="4"/>
      <c r="D163" s="4" t="str">
        <f>IF($C163="","",IFERROR(VLOOKUP($C163,'Test Case Catalogue'!$A$6:$M$90,2,FALSE),""))</f>
        <v/>
      </c>
      <c r="E163" s="4" t="str">
        <f>IF($C163="","",IFERROR(VLOOKUP($C163,'Test Case Catalogue'!$A$6:$M$90,4,FALSE),""))</f>
        <v/>
      </c>
      <c r="F163" s="4" t="str">
        <f>IF($C163="","",IFERROR(VLOOKUP($C163,'Test Case Catalogue'!$A$6:$M$90,9,FALSE),""))</f>
        <v/>
      </c>
      <c r="G163" s="4" t="str">
        <f>IF($C163="","",IFERROR(VLOOKUP($C163,'Test Case Catalogue'!$A$6:$M$90,10,FALSE),""))</f>
        <v/>
      </c>
      <c r="H163" s="4"/>
      <c r="I163" s="4"/>
      <c r="J163" s="8"/>
      <c r="K163" s="4"/>
      <c r="L163" s="4"/>
      <c r="M163" s="4"/>
      <c r="N163" s="4"/>
      <c r="O163" s="4"/>
    </row>
    <row r="164" spans="1:15" ht="58.05" customHeight="1">
      <c r="A164" s="4"/>
      <c r="B164" s="4"/>
      <c r="C164" s="4"/>
      <c r="D164" s="4" t="str">
        <f>IF($C164="","",IFERROR(VLOOKUP($C164,'Test Case Catalogue'!$A$6:$M$90,2,FALSE),""))</f>
        <v/>
      </c>
      <c r="E164" s="4" t="str">
        <f>IF($C164="","",IFERROR(VLOOKUP($C164,'Test Case Catalogue'!$A$6:$M$90,4,FALSE),""))</f>
        <v/>
      </c>
      <c r="F164" s="4" t="str">
        <f>IF($C164="","",IFERROR(VLOOKUP($C164,'Test Case Catalogue'!$A$6:$M$90,9,FALSE),""))</f>
        <v/>
      </c>
      <c r="G164" s="4" t="str">
        <f>IF($C164="","",IFERROR(VLOOKUP($C164,'Test Case Catalogue'!$A$6:$M$90,10,FALSE),""))</f>
        <v/>
      </c>
      <c r="H164" s="4"/>
      <c r="I164" s="4"/>
      <c r="J164" s="8"/>
      <c r="K164" s="4"/>
      <c r="L164" s="4"/>
      <c r="M164" s="4"/>
      <c r="N164" s="4"/>
      <c r="O164" s="4"/>
    </row>
    <row r="165" spans="1:15" ht="58.05" customHeight="1">
      <c r="A165" s="4"/>
      <c r="B165" s="4"/>
      <c r="C165" s="4"/>
      <c r="D165" s="4" t="str">
        <f>IF($C165="","",IFERROR(VLOOKUP($C165,'Test Case Catalogue'!$A$6:$M$90,2,FALSE),""))</f>
        <v/>
      </c>
      <c r="E165" s="4" t="str">
        <f>IF($C165="","",IFERROR(VLOOKUP($C165,'Test Case Catalogue'!$A$6:$M$90,4,FALSE),""))</f>
        <v/>
      </c>
      <c r="F165" s="4" t="str">
        <f>IF($C165="","",IFERROR(VLOOKUP($C165,'Test Case Catalogue'!$A$6:$M$90,9,FALSE),""))</f>
        <v/>
      </c>
      <c r="G165" s="4" t="str">
        <f>IF($C165="","",IFERROR(VLOOKUP($C165,'Test Case Catalogue'!$A$6:$M$90,10,FALSE),""))</f>
        <v/>
      </c>
      <c r="H165" s="4"/>
      <c r="I165" s="4"/>
      <c r="J165" s="8"/>
      <c r="K165" s="4"/>
      <c r="L165" s="4"/>
      <c r="M165" s="4"/>
      <c r="N165" s="4"/>
      <c r="O165" s="4"/>
    </row>
    <row r="166" spans="1:15" ht="58.05" customHeight="1">
      <c r="A166" s="4"/>
      <c r="B166" s="4"/>
      <c r="C166" s="4"/>
      <c r="D166" s="4" t="str">
        <f>IF($C166="","",IFERROR(VLOOKUP($C166,'Test Case Catalogue'!$A$6:$M$90,2,FALSE),""))</f>
        <v/>
      </c>
      <c r="E166" s="4" t="str">
        <f>IF($C166="","",IFERROR(VLOOKUP($C166,'Test Case Catalogue'!$A$6:$M$90,4,FALSE),""))</f>
        <v/>
      </c>
      <c r="F166" s="4" t="str">
        <f>IF($C166="","",IFERROR(VLOOKUP($C166,'Test Case Catalogue'!$A$6:$M$90,9,FALSE),""))</f>
        <v/>
      </c>
      <c r="G166" s="4" t="str">
        <f>IF($C166="","",IFERROR(VLOOKUP($C166,'Test Case Catalogue'!$A$6:$M$90,10,FALSE),""))</f>
        <v/>
      </c>
      <c r="H166" s="4"/>
      <c r="I166" s="4"/>
      <c r="J166" s="8"/>
      <c r="K166" s="4"/>
      <c r="L166" s="4"/>
      <c r="M166" s="4"/>
      <c r="N166" s="4"/>
      <c r="O166" s="4"/>
    </row>
    <row r="167" spans="1:15" ht="58.05" customHeight="1">
      <c r="A167" s="4"/>
      <c r="B167" s="4"/>
      <c r="C167" s="4"/>
      <c r="D167" s="4" t="str">
        <f>IF($C167="","",IFERROR(VLOOKUP($C167,'Test Case Catalogue'!$A$6:$M$90,2,FALSE),""))</f>
        <v/>
      </c>
      <c r="E167" s="4" t="str">
        <f>IF($C167="","",IFERROR(VLOOKUP($C167,'Test Case Catalogue'!$A$6:$M$90,4,FALSE),""))</f>
        <v/>
      </c>
      <c r="F167" s="4" t="str">
        <f>IF($C167="","",IFERROR(VLOOKUP($C167,'Test Case Catalogue'!$A$6:$M$90,9,FALSE),""))</f>
        <v/>
      </c>
      <c r="G167" s="4" t="str">
        <f>IF($C167="","",IFERROR(VLOOKUP($C167,'Test Case Catalogue'!$A$6:$M$90,10,FALSE),""))</f>
        <v/>
      </c>
      <c r="H167" s="4"/>
      <c r="I167" s="4"/>
      <c r="J167" s="8"/>
      <c r="K167" s="4"/>
      <c r="L167" s="4"/>
      <c r="M167" s="4"/>
      <c r="N167" s="4"/>
      <c r="O167" s="4"/>
    </row>
    <row r="168" spans="1:15" ht="58.05" customHeight="1">
      <c r="A168" s="4"/>
      <c r="B168" s="4"/>
      <c r="C168" s="4"/>
      <c r="D168" s="4" t="str">
        <f>IF($C168="","",IFERROR(VLOOKUP($C168,'Test Case Catalogue'!$A$6:$M$90,2,FALSE),""))</f>
        <v/>
      </c>
      <c r="E168" s="4" t="str">
        <f>IF($C168="","",IFERROR(VLOOKUP($C168,'Test Case Catalogue'!$A$6:$M$90,4,FALSE),""))</f>
        <v/>
      </c>
      <c r="F168" s="4" t="str">
        <f>IF($C168="","",IFERROR(VLOOKUP($C168,'Test Case Catalogue'!$A$6:$M$90,9,FALSE),""))</f>
        <v/>
      </c>
      <c r="G168" s="4" t="str">
        <f>IF($C168="","",IFERROR(VLOOKUP($C168,'Test Case Catalogue'!$A$6:$M$90,10,FALSE),""))</f>
        <v/>
      </c>
      <c r="H168" s="4"/>
      <c r="I168" s="4"/>
      <c r="J168" s="8"/>
      <c r="K168" s="4"/>
      <c r="L168" s="4"/>
      <c r="M168" s="4"/>
      <c r="N168" s="4"/>
      <c r="O168" s="4"/>
    </row>
    <row r="169" spans="1:15" ht="58.05" customHeight="1">
      <c r="A169" s="4"/>
      <c r="B169" s="4"/>
      <c r="C169" s="4"/>
      <c r="D169" s="4" t="str">
        <f>IF($C169="","",IFERROR(VLOOKUP($C169,'Test Case Catalogue'!$A$6:$M$90,2,FALSE),""))</f>
        <v/>
      </c>
      <c r="E169" s="4" t="str">
        <f>IF($C169="","",IFERROR(VLOOKUP($C169,'Test Case Catalogue'!$A$6:$M$90,4,FALSE),""))</f>
        <v/>
      </c>
      <c r="F169" s="4" t="str">
        <f>IF($C169="","",IFERROR(VLOOKUP($C169,'Test Case Catalogue'!$A$6:$M$90,9,FALSE),""))</f>
        <v/>
      </c>
      <c r="G169" s="4" t="str">
        <f>IF($C169="","",IFERROR(VLOOKUP($C169,'Test Case Catalogue'!$A$6:$M$90,10,FALSE),""))</f>
        <v/>
      </c>
      <c r="H169" s="4"/>
      <c r="I169" s="4"/>
      <c r="J169" s="8"/>
      <c r="K169" s="4"/>
      <c r="L169" s="4"/>
      <c r="M169" s="4"/>
      <c r="N169" s="4"/>
      <c r="O169" s="4"/>
    </row>
    <row r="170" spans="1:15" ht="58.05" customHeight="1">
      <c r="A170" s="4"/>
      <c r="B170" s="4"/>
      <c r="C170" s="4"/>
      <c r="D170" s="4" t="str">
        <f>IF($C170="","",IFERROR(VLOOKUP($C170,'Test Case Catalogue'!$A$6:$M$90,2,FALSE),""))</f>
        <v/>
      </c>
      <c r="E170" s="4" t="str">
        <f>IF($C170="","",IFERROR(VLOOKUP($C170,'Test Case Catalogue'!$A$6:$M$90,4,FALSE),""))</f>
        <v/>
      </c>
      <c r="F170" s="4" t="str">
        <f>IF($C170="","",IFERROR(VLOOKUP($C170,'Test Case Catalogue'!$A$6:$M$90,9,FALSE),""))</f>
        <v/>
      </c>
      <c r="G170" s="4" t="str">
        <f>IF($C170="","",IFERROR(VLOOKUP($C170,'Test Case Catalogue'!$A$6:$M$90,10,FALSE),""))</f>
        <v/>
      </c>
      <c r="H170" s="4"/>
      <c r="I170" s="4"/>
      <c r="J170" s="8"/>
      <c r="K170" s="4"/>
      <c r="L170" s="4"/>
      <c r="M170" s="4"/>
      <c r="N170" s="4"/>
      <c r="O170" s="4"/>
    </row>
    <row r="171" spans="1:15" ht="58.05" customHeight="1">
      <c r="A171" s="4"/>
      <c r="B171" s="4"/>
      <c r="C171" s="4"/>
      <c r="D171" s="4" t="str">
        <f>IF($C171="","",IFERROR(VLOOKUP($C171,'Test Case Catalogue'!$A$6:$M$90,2,FALSE),""))</f>
        <v/>
      </c>
      <c r="E171" s="4" t="str">
        <f>IF($C171="","",IFERROR(VLOOKUP($C171,'Test Case Catalogue'!$A$6:$M$90,4,FALSE),""))</f>
        <v/>
      </c>
      <c r="F171" s="4" t="str">
        <f>IF($C171="","",IFERROR(VLOOKUP($C171,'Test Case Catalogue'!$A$6:$M$90,9,FALSE),""))</f>
        <v/>
      </c>
      <c r="G171" s="4" t="str">
        <f>IF($C171="","",IFERROR(VLOOKUP($C171,'Test Case Catalogue'!$A$6:$M$90,10,FALSE),""))</f>
        <v/>
      </c>
      <c r="H171" s="4"/>
      <c r="I171" s="4"/>
      <c r="J171" s="8"/>
      <c r="K171" s="4"/>
      <c r="L171" s="4"/>
      <c r="M171" s="4"/>
      <c r="N171" s="4"/>
      <c r="O171" s="4"/>
    </row>
    <row r="172" spans="1:15" ht="58.05" customHeight="1">
      <c r="A172" s="4"/>
      <c r="B172" s="4"/>
      <c r="C172" s="4"/>
      <c r="D172" s="4" t="str">
        <f>IF($C172="","",IFERROR(VLOOKUP($C172,'Test Case Catalogue'!$A$6:$M$90,2,FALSE),""))</f>
        <v/>
      </c>
      <c r="E172" s="4" t="str">
        <f>IF($C172="","",IFERROR(VLOOKUP($C172,'Test Case Catalogue'!$A$6:$M$90,4,FALSE),""))</f>
        <v/>
      </c>
      <c r="F172" s="4" t="str">
        <f>IF($C172="","",IFERROR(VLOOKUP($C172,'Test Case Catalogue'!$A$6:$M$90,9,FALSE),""))</f>
        <v/>
      </c>
      <c r="G172" s="4" t="str">
        <f>IF($C172="","",IFERROR(VLOOKUP($C172,'Test Case Catalogue'!$A$6:$M$90,10,FALSE),""))</f>
        <v/>
      </c>
      <c r="H172" s="4"/>
      <c r="I172" s="4"/>
      <c r="J172" s="8"/>
      <c r="K172" s="4"/>
      <c r="L172" s="4"/>
      <c r="M172" s="4"/>
      <c r="N172" s="4"/>
      <c r="O172" s="4"/>
    </row>
    <row r="173" spans="1:15" ht="58.05" customHeight="1">
      <c r="A173" s="4"/>
      <c r="B173" s="4"/>
      <c r="C173" s="4"/>
      <c r="D173" s="4" t="str">
        <f>IF($C173="","",IFERROR(VLOOKUP($C173,'Test Case Catalogue'!$A$6:$M$90,2,FALSE),""))</f>
        <v/>
      </c>
      <c r="E173" s="4" t="str">
        <f>IF($C173="","",IFERROR(VLOOKUP($C173,'Test Case Catalogue'!$A$6:$M$90,4,FALSE),""))</f>
        <v/>
      </c>
      <c r="F173" s="4" t="str">
        <f>IF($C173="","",IFERROR(VLOOKUP($C173,'Test Case Catalogue'!$A$6:$M$90,9,FALSE),""))</f>
        <v/>
      </c>
      <c r="G173" s="4" t="str">
        <f>IF($C173="","",IFERROR(VLOOKUP($C173,'Test Case Catalogue'!$A$6:$M$90,10,FALSE),""))</f>
        <v/>
      </c>
      <c r="H173" s="4"/>
      <c r="I173" s="4"/>
      <c r="J173" s="8"/>
      <c r="K173" s="4"/>
      <c r="L173" s="4"/>
      <c r="M173" s="4"/>
      <c r="N173" s="4"/>
      <c r="O173" s="4"/>
    </row>
    <row r="174" spans="1:15" ht="58.05" customHeight="1">
      <c r="A174" s="4"/>
      <c r="B174" s="4"/>
      <c r="C174" s="4"/>
      <c r="D174" s="4" t="str">
        <f>IF($C174="","",IFERROR(VLOOKUP($C174,'Test Case Catalogue'!$A$6:$M$90,2,FALSE),""))</f>
        <v/>
      </c>
      <c r="E174" s="4" t="str">
        <f>IF($C174="","",IFERROR(VLOOKUP($C174,'Test Case Catalogue'!$A$6:$M$90,4,FALSE),""))</f>
        <v/>
      </c>
      <c r="F174" s="4" t="str">
        <f>IF($C174="","",IFERROR(VLOOKUP($C174,'Test Case Catalogue'!$A$6:$M$90,9,FALSE),""))</f>
        <v/>
      </c>
      <c r="G174" s="4" t="str">
        <f>IF($C174="","",IFERROR(VLOOKUP($C174,'Test Case Catalogue'!$A$6:$M$90,10,FALSE),""))</f>
        <v/>
      </c>
      <c r="H174" s="4"/>
      <c r="I174" s="4"/>
      <c r="J174" s="8"/>
      <c r="K174" s="4"/>
      <c r="L174" s="4"/>
      <c r="M174" s="4"/>
      <c r="N174" s="4"/>
      <c r="O174" s="4"/>
    </row>
    <row r="175" spans="1:15" ht="58.05" customHeight="1">
      <c r="A175" s="4"/>
      <c r="B175" s="4"/>
      <c r="C175" s="4"/>
      <c r="D175" s="4" t="str">
        <f>IF($C175="","",IFERROR(VLOOKUP($C175,'Test Case Catalogue'!$A$6:$M$90,2,FALSE),""))</f>
        <v/>
      </c>
      <c r="E175" s="4" t="str">
        <f>IF($C175="","",IFERROR(VLOOKUP($C175,'Test Case Catalogue'!$A$6:$M$90,4,FALSE),""))</f>
        <v/>
      </c>
      <c r="F175" s="4" t="str">
        <f>IF($C175="","",IFERROR(VLOOKUP($C175,'Test Case Catalogue'!$A$6:$M$90,9,FALSE),""))</f>
        <v/>
      </c>
      <c r="G175" s="4" t="str">
        <f>IF($C175="","",IFERROR(VLOOKUP($C175,'Test Case Catalogue'!$A$6:$M$90,10,FALSE),""))</f>
        <v/>
      </c>
      <c r="H175" s="4"/>
      <c r="I175" s="4"/>
      <c r="J175" s="8"/>
      <c r="K175" s="4"/>
      <c r="L175" s="4"/>
      <c r="M175" s="4"/>
      <c r="N175" s="4"/>
      <c r="O175" s="4"/>
    </row>
    <row r="176" spans="1:15" ht="58.05" customHeight="1">
      <c r="A176" s="4"/>
      <c r="B176" s="4"/>
      <c r="C176" s="4"/>
      <c r="D176" s="4" t="str">
        <f>IF($C176="","",IFERROR(VLOOKUP($C176,'Test Case Catalogue'!$A$6:$M$90,2,FALSE),""))</f>
        <v/>
      </c>
      <c r="E176" s="4" t="str">
        <f>IF($C176="","",IFERROR(VLOOKUP($C176,'Test Case Catalogue'!$A$6:$M$90,4,FALSE),""))</f>
        <v/>
      </c>
      <c r="F176" s="4" t="str">
        <f>IF($C176="","",IFERROR(VLOOKUP($C176,'Test Case Catalogue'!$A$6:$M$90,9,FALSE),""))</f>
        <v/>
      </c>
      <c r="G176" s="4" t="str">
        <f>IF($C176="","",IFERROR(VLOOKUP($C176,'Test Case Catalogue'!$A$6:$M$90,10,FALSE),""))</f>
        <v/>
      </c>
      <c r="H176" s="4"/>
      <c r="I176" s="4"/>
      <c r="J176" s="8"/>
      <c r="K176" s="4"/>
      <c r="L176" s="4"/>
      <c r="M176" s="4"/>
      <c r="N176" s="4"/>
      <c r="O176" s="4"/>
    </row>
    <row r="177" spans="1:15" ht="58.05" customHeight="1">
      <c r="A177" s="4"/>
      <c r="B177" s="4"/>
      <c r="C177" s="4"/>
      <c r="D177" s="4" t="str">
        <f>IF($C177="","",IFERROR(VLOOKUP($C177,'Test Case Catalogue'!$A$6:$M$90,2,FALSE),""))</f>
        <v/>
      </c>
      <c r="E177" s="4" t="str">
        <f>IF($C177="","",IFERROR(VLOOKUP($C177,'Test Case Catalogue'!$A$6:$M$90,4,FALSE),""))</f>
        <v/>
      </c>
      <c r="F177" s="4" t="str">
        <f>IF($C177="","",IFERROR(VLOOKUP($C177,'Test Case Catalogue'!$A$6:$M$90,9,FALSE),""))</f>
        <v/>
      </c>
      <c r="G177" s="4" t="str">
        <f>IF($C177="","",IFERROR(VLOOKUP($C177,'Test Case Catalogue'!$A$6:$M$90,10,FALSE),""))</f>
        <v/>
      </c>
      <c r="H177" s="4"/>
      <c r="I177" s="4"/>
      <c r="J177" s="8"/>
      <c r="K177" s="4"/>
      <c r="L177" s="4"/>
      <c r="M177" s="4"/>
      <c r="N177" s="4"/>
      <c r="O177" s="4"/>
    </row>
    <row r="178" spans="1:15" ht="58.05" customHeight="1">
      <c r="A178" s="4"/>
      <c r="B178" s="4"/>
      <c r="C178" s="4"/>
      <c r="D178" s="4" t="str">
        <f>IF($C178="","",IFERROR(VLOOKUP($C178,'Test Case Catalogue'!$A$6:$M$90,2,FALSE),""))</f>
        <v/>
      </c>
      <c r="E178" s="4" t="str">
        <f>IF($C178="","",IFERROR(VLOOKUP($C178,'Test Case Catalogue'!$A$6:$M$90,4,FALSE),""))</f>
        <v/>
      </c>
      <c r="F178" s="4" t="str">
        <f>IF($C178="","",IFERROR(VLOOKUP($C178,'Test Case Catalogue'!$A$6:$M$90,9,FALSE),""))</f>
        <v/>
      </c>
      <c r="G178" s="4" t="str">
        <f>IF($C178="","",IFERROR(VLOOKUP($C178,'Test Case Catalogue'!$A$6:$M$90,10,FALSE),""))</f>
        <v/>
      </c>
      <c r="H178" s="4"/>
      <c r="I178" s="4"/>
      <c r="J178" s="8"/>
      <c r="K178" s="4"/>
      <c r="L178" s="4"/>
      <c r="M178" s="4"/>
      <c r="N178" s="4"/>
      <c r="O178" s="4"/>
    </row>
    <row r="179" spans="1:15" ht="58.05" customHeight="1">
      <c r="A179" s="4"/>
      <c r="B179" s="4"/>
      <c r="C179" s="4"/>
      <c r="D179" s="4" t="str">
        <f>IF($C179="","",IFERROR(VLOOKUP($C179,'Test Case Catalogue'!$A$6:$M$90,2,FALSE),""))</f>
        <v/>
      </c>
      <c r="E179" s="4" t="str">
        <f>IF($C179="","",IFERROR(VLOOKUP($C179,'Test Case Catalogue'!$A$6:$M$90,4,FALSE),""))</f>
        <v/>
      </c>
      <c r="F179" s="4" t="str">
        <f>IF($C179="","",IFERROR(VLOOKUP($C179,'Test Case Catalogue'!$A$6:$M$90,9,FALSE),""))</f>
        <v/>
      </c>
      <c r="G179" s="4" t="str">
        <f>IF($C179="","",IFERROR(VLOOKUP($C179,'Test Case Catalogue'!$A$6:$M$90,10,FALSE),""))</f>
        <v/>
      </c>
      <c r="H179" s="4"/>
      <c r="I179" s="4"/>
      <c r="J179" s="8"/>
      <c r="K179" s="4"/>
      <c r="L179" s="4"/>
      <c r="M179" s="4"/>
      <c r="N179" s="4"/>
      <c r="O179" s="4"/>
    </row>
    <row r="180" spans="1:15" ht="58.05" customHeight="1">
      <c r="A180" s="4"/>
      <c r="B180" s="4"/>
      <c r="C180" s="4"/>
      <c r="D180" s="4" t="str">
        <f>IF($C180="","",IFERROR(VLOOKUP($C180,'Test Case Catalogue'!$A$6:$M$90,2,FALSE),""))</f>
        <v/>
      </c>
      <c r="E180" s="4" t="str">
        <f>IF($C180="","",IFERROR(VLOOKUP($C180,'Test Case Catalogue'!$A$6:$M$90,4,FALSE),""))</f>
        <v/>
      </c>
      <c r="F180" s="4" t="str">
        <f>IF($C180="","",IFERROR(VLOOKUP($C180,'Test Case Catalogue'!$A$6:$M$90,9,FALSE),""))</f>
        <v/>
      </c>
      <c r="G180" s="4" t="str">
        <f>IF($C180="","",IFERROR(VLOOKUP($C180,'Test Case Catalogue'!$A$6:$M$90,10,FALSE),""))</f>
        <v/>
      </c>
      <c r="H180" s="4"/>
      <c r="I180" s="4"/>
      <c r="J180" s="8"/>
      <c r="K180" s="4"/>
      <c r="L180" s="4"/>
      <c r="M180" s="4"/>
      <c r="N180" s="4"/>
      <c r="O180" s="4"/>
    </row>
    <row r="181" spans="1:15" ht="58.05" customHeight="1">
      <c r="A181" s="4"/>
      <c r="B181" s="4"/>
      <c r="C181" s="4"/>
      <c r="D181" s="4" t="str">
        <f>IF($C181="","",IFERROR(VLOOKUP($C181,'Test Case Catalogue'!$A$6:$M$90,2,FALSE),""))</f>
        <v/>
      </c>
      <c r="E181" s="4" t="str">
        <f>IF($C181="","",IFERROR(VLOOKUP($C181,'Test Case Catalogue'!$A$6:$M$90,4,FALSE),""))</f>
        <v/>
      </c>
      <c r="F181" s="4" t="str">
        <f>IF($C181="","",IFERROR(VLOOKUP($C181,'Test Case Catalogue'!$A$6:$M$90,9,FALSE),""))</f>
        <v/>
      </c>
      <c r="G181" s="4" t="str">
        <f>IF($C181="","",IFERROR(VLOOKUP($C181,'Test Case Catalogue'!$A$6:$M$90,10,FALSE),""))</f>
        <v/>
      </c>
      <c r="H181" s="4"/>
      <c r="I181" s="4"/>
      <c r="J181" s="8"/>
      <c r="K181" s="4"/>
      <c r="L181" s="4"/>
      <c r="M181" s="4"/>
      <c r="N181" s="4"/>
      <c r="O181" s="4"/>
    </row>
    <row r="182" spans="1:15" ht="58.05" customHeight="1">
      <c r="A182" s="4"/>
      <c r="B182" s="4"/>
      <c r="C182" s="4"/>
      <c r="D182" s="4" t="str">
        <f>IF($C182="","",IFERROR(VLOOKUP($C182,'Test Case Catalogue'!$A$6:$M$90,2,FALSE),""))</f>
        <v/>
      </c>
      <c r="E182" s="4" t="str">
        <f>IF($C182="","",IFERROR(VLOOKUP($C182,'Test Case Catalogue'!$A$6:$M$90,4,FALSE),""))</f>
        <v/>
      </c>
      <c r="F182" s="4" t="str">
        <f>IF($C182="","",IFERROR(VLOOKUP($C182,'Test Case Catalogue'!$A$6:$M$90,9,FALSE),""))</f>
        <v/>
      </c>
      <c r="G182" s="4" t="str">
        <f>IF($C182="","",IFERROR(VLOOKUP($C182,'Test Case Catalogue'!$A$6:$M$90,10,FALSE),""))</f>
        <v/>
      </c>
      <c r="H182" s="4"/>
      <c r="I182" s="4"/>
      <c r="J182" s="8"/>
      <c r="K182" s="4"/>
      <c r="L182" s="4"/>
      <c r="M182" s="4"/>
      <c r="N182" s="4"/>
      <c r="O182" s="4"/>
    </row>
    <row r="183" spans="1:15" ht="58.05" customHeight="1">
      <c r="A183" s="4"/>
      <c r="B183" s="4"/>
      <c r="C183" s="4"/>
      <c r="D183" s="4" t="str">
        <f>IF($C183="","",IFERROR(VLOOKUP($C183,'Test Case Catalogue'!$A$6:$M$90,2,FALSE),""))</f>
        <v/>
      </c>
      <c r="E183" s="4" t="str">
        <f>IF($C183="","",IFERROR(VLOOKUP($C183,'Test Case Catalogue'!$A$6:$M$90,4,FALSE),""))</f>
        <v/>
      </c>
      <c r="F183" s="4" t="str">
        <f>IF($C183="","",IFERROR(VLOOKUP($C183,'Test Case Catalogue'!$A$6:$M$90,9,FALSE),""))</f>
        <v/>
      </c>
      <c r="G183" s="4" t="str">
        <f>IF($C183="","",IFERROR(VLOOKUP($C183,'Test Case Catalogue'!$A$6:$M$90,10,FALSE),""))</f>
        <v/>
      </c>
      <c r="H183" s="4"/>
      <c r="I183" s="4"/>
      <c r="J183" s="8"/>
      <c r="K183" s="4"/>
      <c r="L183" s="4"/>
      <c r="M183" s="4"/>
      <c r="N183" s="4"/>
      <c r="O183" s="4"/>
    </row>
    <row r="184" spans="1:15" ht="58.05" customHeight="1">
      <c r="A184" s="4"/>
      <c r="B184" s="4"/>
      <c r="C184" s="4"/>
      <c r="D184" s="4" t="str">
        <f>IF($C184="","",IFERROR(VLOOKUP($C184,'Test Case Catalogue'!$A$6:$M$90,2,FALSE),""))</f>
        <v/>
      </c>
      <c r="E184" s="4" t="str">
        <f>IF($C184="","",IFERROR(VLOOKUP($C184,'Test Case Catalogue'!$A$6:$M$90,4,FALSE),""))</f>
        <v/>
      </c>
      <c r="F184" s="4" t="str">
        <f>IF($C184="","",IFERROR(VLOOKUP($C184,'Test Case Catalogue'!$A$6:$M$90,9,FALSE),""))</f>
        <v/>
      </c>
      <c r="G184" s="4" t="str">
        <f>IF($C184="","",IFERROR(VLOOKUP($C184,'Test Case Catalogue'!$A$6:$M$90,10,FALSE),""))</f>
        <v/>
      </c>
      <c r="H184" s="4"/>
      <c r="I184" s="4"/>
      <c r="J184" s="8"/>
      <c r="K184" s="4"/>
      <c r="L184" s="4"/>
      <c r="M184" s="4"/>
      <c r="N184" s="4"/>
      <c r="O184" s="4"/>
    </row>
    <row r="185" spans="1:15" ht="58.05" customHeight="1">
      <c r="A185" s="4"/>
      <c r="B185" s="4"/>
      <c r="C185" s="4"/>
      <c r="D185" s="4" t="str">
        <f>IF($C185="","",IFERROR(VLOOKUP($C185,'Test Case Catalogue'!$A$6:$M$90,2,FALSE),""))</f>
        <v/>
      </c>
      <c r="E185" s="4" t="str">
        <f>IF($C185="","",IFERROR(VLOOKUP($C185,'Test Case Catalogue'!$A$6:$M$90,4,FALSE),""))</f>
        <v/>
      </c>
      <c r="F185" s="4" t="str">
        <f>IF($C185="","",IFERROR(VLOOKUP($C185,'Test Case Catalogue'!$A$6:$M$90,9,FALSE),""))</f>
        <v/>
      </c>
      <c r="G185" s="4" t="str">
        <f>IF($C185="","",IFERROR(VLOOKUP($C185,'Test Case Catalogue'!$A$6:$M$90,10,FALSE),""))</f>
        <v/>
      </c>
      <c r="H185" s="4"/>
      <c r="I185" s="4"/>
      <c r="J185" s="8"/>
      <c r="K185" s="4"/>
      <c r="L185" s="4"/>
      <c r="M185" s="4"/>
      <c r="N185" s="4"/>
      <c r="O185" s="4"/>
    </row>
    <row r="186" spans="1:15" ht="58.05" customHeight="1">
      <c r="A186" s="4"/>
      <c r="B186" s="4"/>
      <c r="C186" s="4"/>
      <c r="D186" s="4" t="str">
        <f>IF($C186="","",IFERROR(VLOOKUP($C186,'Test Case Catalogue'!$A$6:$M$90,2,FALSE),""))</f>
        <v/>
      </c>
      <c r="E186" s="4" t="str">
        <f>IF($C186="","",IFERROR(VLOOKUP($C186,'Test Case Catalogue'!$A$6:$M$90,4,FALSE),""))</f>
        <v/>
      </c>
      <c r="F186" s="4" t="str">
        <f>IF($C186="","",IFERROR(VLOOKUP($C186,'Test Case Catalogue'!$A$6:$M$90,9,FALSE),""))</f>
        <v/>
      </c>
      <c r="G186" s="4" t="str">
        <f>IF($C186="","",IFERROR(VLOOKUP($C186,'Test Case Catalogue'!$A$6:$M$90,10,FALSE),""))</f>
        <v/>
      </c>
      <c r="H186" s="4"/>
      <c r="I186" s="4"/>
      <c r="J186" s="8"/>
      <c r="K186" s="4"/>
      <c r="L186" s="4"/>
      <c r="M186" s="4"/>
      <c r="N186" s="4"/>
      <c r="O186" s="4"/>
    </row>
    <row r="187" spans="1:15" ht="58.05" customHeight="1">
      <c r="A187" s="4"/>
      <c r="B187" s="4"/>
      <c r="C187" s="4"/>
      <c r="D187" s="4" t="str">
        <f>IF($C187="","",IFERROR(VLOOKUP($C187,'Test Case Catalogue'!$A$6:$M$90,2,FALSE),""))</f>
        <v/>
      </c>
      <c r="E187" s="4" t="str">
        <f>IF($C187="","",IFERROR(VLOOKUP($C187,'Test Case Catalogue'!$A$6:$M$90,4,FALSE),""))</f>
        <v/>
      </c>
      <c r="F187" s="4" t="str">
        <f>IF($C187="","",IFERROR(VLOOKUP($C187,'Test Case Catalogue'!$A$6:$M$90,9,FALSE),""))</f>
        <v/>
      </c>
      <c r="G187" s="4" t="str">
        <f>IF($C187="","",IFERROR(VLOOKUP($C187,'Test Case Catalogue'!$A$6:$M$90,10,FALSE),""))</f>
        <v/>
      </c>
      <c r="H187" s="4"/>
      <c r="I187" s="4"/>
      <c r="J187" s="8"/>
      <c r="K187" s="4"/>
      <c r="L187" s="4"/>
      <c r="M187" s="4"/>
      <c r="N187" s="4"/>
      <c r="O187" s="4"/>
    </row>
    <row r="188" spans="1:15" ht="58.05" customHeight="1">
      <c r="A188" s="4"/>
      <c r="B188" s="4"/>
      <c r="C188" s="4"/>
      <c r="D188" s="4" t="str">
        <f>IF($C188="","",IFERROR(VLOOKUP($C188,'Test Case Catalogue'!$A$6:$M$90,2,FALSE),""))</f>
        <v/>
      </c>
      <c r="E188" s="4" t="str">
        <f>IF($C188="","",IFERROR(VLOOKUP($C188,'Test Case Catalogue'!$A$6:$M$90,4,FALSE),""))</f>
        <v/>
      </c>
      <c r="F188" s="4" t="str">
        <f>IF($C188="","",IFERROR(VLOOKUP($C188,'Test Case Catalogue'!$A$6:$M$90,9,FALSE),""))</f>
        <v/>
      </c>
      <c r="G188" s="4" t="str">
        <f>IF($C188="","",IFERROR(VLOOKUP($C188,'Test Case Catalogue'!$A$6:$M$90,10,FALSE),""))</f>
        <v/>
      </c>
      <c r="H188" s="4"/>
      <c r="I188" s="4"/>
      <c r="J188" s="8"/>
      <c r="K188" s="4"/>
      <c r="L188" s="4"/>
      <c r="M188" s="4"/>
      <c r="N188" s="4"/>
      <c r="O188" s="4"/>
    </row>
    <row r="189" spans="1:15" ht="58.05" customHeight="1">
      <c r="A189" s="4"/>
      <c r="B189" s="4"/>
      <c r="C189" s="4"/>
      <c r="D189" s="4" t="str">
        <f>IF($C189="","",IFERROR(VLOOKUP($C189,'Test Case Catalogue'!$A$6:$M$90,2,FALSE),""))</f>
        <v/>
      </c>
      <c r="E189" s="4" t="str">
        <f>IF($C189="","",IFERROR(VLOOKUP($C189,'Test Case Catalogue'!$A$6:$M$90,4,FALSE),""))</f>
        <v/>
      </c>
      <c r="F189" s="4" t="str">
        <f>IF($C189="","",IFERROR(VLOOKUP($C189,'Test Case Catalogue'!$A$6:$M$90,9,FALSE),""))</f>
        <v/>
      </c>
      <c r="G189" s="4" t="str">
        <f>IF($C189="","",IFERROR(VLOOKUP($C189,'Test Case Catalogue'!$A$6:$M$90,10,FALSE),""))</f>
        <v/>
      </c>
      <c r="H189" s="4"/>
      <c r="I189" s="4"/>
      <c r="J189" s="8"/>
      <c r="K189" s="4"/>
      <c r="L189" s="4"/>
      <c r="M189" s="4"/>
      <c r="N189" s="4"/>
      <c r="O189" s="4"/>
    </row>
    <row r="190" spans="1:15" ht="58.05" customHeight="1">
      <c r="A190" s="4"/>
      <c r="B190" s="4"/>
      <c r="C190" s="4"/>
      <c r="D190" s="4" t="str">
        <f>IF($C190="","",IFERROR(VLOOKUP($C190,'Test Case Catalogue'!$A$6:$M$90,2,FALSE),""))</f>
        <v/>
      </c>
      <c r="E190" s="4" t="str">
        <f>IF($C190="","",IFERROR(VLOOKUP($C190,'Test Case Catalogue'!$A$6:$M$90,4,FALSE),""))</f>
        <v/>
      </c>
      <c r="F190" s="4" t="str">
        <f>IF($C190="","",IFERROR(VLOOKUP($C190,'Test Case Catalogue'!$A$6:$M$90,9,FALSE),""))</f>
        <v/>
      </c>
      <c r="G190" s="4" t="str">
        <f>IF($C190="","",IFERROR(VLOOKUP($C190,'Test Case Catalogue'!$A$6:$M$90,10,FALSE),""))</f>
        <v/>
      </c>
      <c r="H190" s="4"/>
      <c r="I190" s="4"/>
      <c r="J190" s="8"/>
      <c r="K190" s="4"/>
      <c r="L190" s="4"/>
      <c r="M190" s="4"/>
      <c r="N190" s="4"/>
      <c r="O190" s="4"/>
    </row>
    <row r="191" spans="1:15" ht="58.05" customHeight="1">
      <c r="A191" s="4"/>
      <c r="B191" s="4"/>
      <c r="C191" s="4"/>
      <c r="D191" s="4" t="str">
        <f>IF($C191="","",IFERROR(VLOOKUP($C191,'Test Case Catalogue'!$A$6:$M$90,2,FALSE),""))</f>
        <v/>
      </c>
      <c r="E191" s="4" t="str">
        <f>IF($C191="","",IFERROR(VLOOKUP($C191,'Test Case Catalogue'!$A$6:$M$90,4,FALSE),""))</f>
        <v/>
      </c>
      <c r="F191" s="4" t="str">
        <f>IF($C191="","",IFERROR(VLOOKUP($C191,'Test Case Catalogue'!$A$6:$M$90,9,FALSE),""))</f>
        <v/>
      </c>
      <c r="G191" s="4" t="str">
        <f>IF($C191="","",IFERROR(VLOOKUP($C191,'Test Case Catalogue'!$A$6:$M$90,10,FALSE),""))</f>
        <v/>
      </c>
      <c r="H191" s="4"/>
      <c r="I191" s="4"/>
      <c r="J191" s="8"/>
      <c r="K191" s="4"/>
      <c r="L191" s="4"/>
      <c r="M191" s="4"/>
      <c r="N191" s="4"/>
      <c r="O191" s="4"/>
    </row>
    <row r="192" spans="1:15" ht="58.05" customHeight="1">
      <c r="A192" s="4"/>
      <c r="B192" s="4"/>
      <c r="C192" s="4"/>
      <c r="D192" s="4" t="str">
        <f>IF($C192="","",IFERROR(VLOOKUP($C192,'Test Case Catalogue'!$A$6:$M$90,2,FALSE),""))</f>
        <v/>
      </c>
      <c r="E192" s="4" t="str">
        <f>IF($C192="","",IFERROR(VLOOKUP($C192,'Test Case Catalogue'!$A$6:$M$90,4,FALSE),""))</f>
        <v/>
      </c>
      <c r="F192" s="4" t="str">
        <f>IF($C192="","",IFERROR(VLOOKUP($C192,'Test Case Catalogue'!$A$6:$M$90,9,FALSE),""))</f>
        <v/>
      </c>
      <c r="G192" s="4" t="str">
        <f>IF($C192="","",IFERROR(VLOOKUP($C192,'Test Case Catalogue'!$A$6:$M$90,10,FALSE),""))</f>
        <v/>
      </c>
      <c r="H192" s="4"/>
      <c r="I192" s="4"/>
      <c r="J192" s="8"/>
      <c r="K192" s="4"/>
      <c r="L192" s="4"/>
      <c r="M192" s="4"/>
      <c r="N192" s="4"/>
      <c r="O192" s="4"/>
    </row>
    <row r="193" spans="1:15" ht="58.05" customHeight="1">
      <c r="A193" s="4"/>
      <c r="B193" s="4"/>
      <c r="C193" s="4"/>
      <c r="D193" s="4" t="str">
        <f>IF($C193="","",IFERROR(VLOOKUP($C193,'Test Case Catalogue'!$A$6:$M$90,2,FALSE),""))</f>
        <v/>
      </c>
      <c r="E193" s="4" t="str">
        <f>IF($C193="","",IFERROR(VLOOKUP($C193,'Test Case Catalogue'!$A$6:$M$90,4,FALSE),""))</f>
        <v/>
      </c>
      <c r="F193" s="4" t="str">
        <f>IF($C193="","",IFERROR(VLOOKUP($C193,'Test Case Catalogue'!$A$6:$M$90,9,FALSE),""))</f>
        <v/>
      </c>
      <c r="G193" s="4" t="str">
        <f>IF($C193="","",IFERROR(VLOOKUP($C193,'Test Case Catalogue'!$A$6:$M$90,10,FALSE),""))</f>
        <v/>
      </c>
      <c r="H193" s="4"/>
      <c r="I193" s="4"/>
      <c r="J193" s="8"/>
      <c r="K193" s="4"/>
      <c r="L193" s="4"/>
      <c r="M193" s="4"/>
      <c r="N193" s="4"/>
      <c r="O193" s="4"/>
    </row>
    <row r="194" spans="1:15" ht="58.05" customHeight="1">
      <c r="A194" s="4"/>
      <c r="B194" s="4"/>
      <c r="C194" s="4"/>
      <c r="D194" s="4" t="str">
        <f>IF($C194="","",IFERROR(VLOOKUP($C194,'Test Case Catalogue'!$A$6:$M$90,2,FALSE),""))</f>
        <v/>
      </c>
      <c r="E194" s="4" t="str">
        <f>IF($C194="","",IFERROR(VLOOKUP($C194,'Test Case Catalogue'!$A$6:$M$90,4,FALSE),""))</f>
        <v/>
      </c>
      <c r="F194" s="4" t="str">
        <f>IF($C194="","",IFERROR(VLOOKUP($C194,'Test Case Catalogue'!$A$6:$M$90,9,FALSE),""))</f>
        <v/>
      </c>
      <c r="G194" s="4" t="str">
        <f>IF($C194="","",IFERROR(VLOOKUP($C194,'Test Case Catalogue'!$A$6:$M$90,10,FALSE),""))</f>
        <v/>
      </c>
      <c r="H194" s="4"/>
      <c r="I194" s="4"/>
      <c r="J194" s="8"/>
      <c r="K194" s="4"/>
      <c r="L194" s="4"/>
      <c r="M194" s="4"/>
      <c r="N194" s="4"/>
      <c r="O194" s="4"/>
    </row>
    <row r="195" spans="1:15" ht="58.05" customHeight="1">
      <c r="A195" s="4"/>
      <c r="B195" s="4"/>
      <c r="C195" s="4"/>
      <c r="D195" s="4" t="str">
        <f>IF($C195="","",IFERROR(VLOOKUP($C195,'Test Case Catalogue'!$A$6:$M$90,2,FALSE),""))</f>
        <v/>
      </c>
      <c r="E195" s="4" t="str">
        <f>IF($C195="","",IFERROR(VLOOKUP($C195,'Test Case Catalogue'!$A$6:$M$90,4,FALSE),""))</f>
        <v/>
      </c>
      <c r="F195" s="4" t="str">
        <f>IF($C195="","",IFERROR(VLOOKUP($C195,'Test Case Catalogue'!$A$6:$M$90,9,FALSE),""))</f>
        <v/>
      </c>
      <c r="G195" s="4" t="str">
        <f>IF($C195="","",IFERROR(VLOOKUP($C195,'Test Case Catalogue'!$A$6:$M$90,10,FALSE),""))</f>
        <v/>
      </c>
      <c r="H195" s="4"/>
      <c r="I195" s="4"/>
      <c r="J195" s="8"/>
      <c r="K195" s="4"/>
      <c r="L195" s="4"/>
      <c r="M195" s="4"/>
      <c r="N195" s="4"/>
      <c r="O195" s="4"/>
    </row>
    <row r="196" spans="1:15" ht="58.05" customHeight="1">
      <c r="A196" s="4"/>
      <c r="B196" s="4"/>
      <c r="C196" s="4"/>
      <c r="D196" s="4" t="str">
        <f>IF($C196="","",IFERROR(VLOOKUP($C196,'Test Case Catalogue'!$A$6:$M$90,2,FALSE),""))</f>
        <v/>
      </c>
      <c r="E196" s="4" t="str">
        <f>IF($C196="","",IFERROR(VLOOKUP($C196,'Test Case Catalogue'!$A$6:$M$90,4,FALSE),""))</f>
        <v/>
      </c>
      <c r="F196" s="4" t="str">
        <f>IF($C196="","",IFERROR(VLOOKUP($C196,'Test Case Catalogue'!$A$6:$M$90,9,FALSE),""))</f>
        <v/>
      </c>
      <c r="G196" s="4" t="str">
        <f>IF($C196="","",IFERROR(VLOOKUP($C196,'Test Case Catalogue'!$A$6:$M$90,10,FALSE),""))</f>
        <v/>
      </c>
      <c r="H196" s="4"/>
      <c r="I196" s="4"/>
      <c r="J196" s="8"/>
      <c r="K196" s="4"/>
      <c r="L196" s="4"/>
      <c r="M196" s="4"/>
      <c r="N196" s="4"/>
      <c r="O196" s="4"/>
    </row>
    <row r="197" spans="1:15" ht="58.05" customHeight="1">
      <c r="A197" s="4"/>
      <c r="B197" s="4"/>
      <c r="C197" s="4"/>
      <c r="D197" s="4" t="str">
        <f>IF($C197="","",IFERROR(VLOOKUP($C197,'Test Case Catalogue'!$A$6:$M$90,2,FALSE),""))</f>
        <v/>
      </c>
      <c r="E197" s="4" t="str">
        <f>IF($C197="","",IFERROR(VLOOKUP($C197,'Test Case Catalogue'!$A$6:$M$90,4,FALSE),""))</f>
        <v/>
      </c>
      <c r="F197" s="4" t="str">
        <f>IF($C197="","",IFERROR(VLOOKUP($C197,'Test Case Catalogue'!$A$6:$M$90,9,FALSE),""))</f>
        <v/>
      </c>
      <c r="G197" s="4" t="str">
        <f>IF($C197="","",IFERROR(VLOOKUP($C197,'Test Case Catalogue'!$A$6:$M$90,10,FALSE),""))</f>
        <v/>
      </c>
      <c r="H197" s="4"/>
      <c r="I197" s="4"/>
      <c r="J197" s="8"/>
      <c r="K197" s="4"/>
      <c r="L197" s="4"/>
      <c r="M197" s="4"/>
      <c r="N197" s="4"/>
      <c r="O197" s="4"/>
    </row>
    <row r="198" spans="1:15" ht="58.05" customHeight="1">
      <c r="A198" s="4"/>
      <c r="B198" s="4"/>
      <c r="C198" s="4"/>
      <c r="D198" s="4" t="str">
        <f>IF($C198="","",IFERROR(VLOOKUP($C198,'Test Case Catalogue'!$A$6:$M$90,2,FALSE),""))</f>
        <v/>
      </c>
      <c r="E198" s="4" t="str">
        <f>IF($C198="","",IFERROR(VLOOKUP($C198,'Test Case Catalogue'!$A$6:$M$90,4,FALSE),""))</f>
        <v/>
      </c>
      <c r="F198" s="4" t="str">
        <f>IF($C198="","",IFERROR(VLOOKUP($C198,'Test Case Catalogue'!$A$6:$M$90,9,FALSE),""))</f>
        <v/>
      </c>
      <c r="G198" s="4" t="str">
        <f>IF($C198="","",IFERROR(VLOOKUP($C198,'Test Case Catalogue'!$A$6:$M$90,10,FALSE),""))</f>
        <v/>
      </c>
      <c r="H198" s="4"/>
      <c r="I198" s="4"/>
      <c r="J198" s="8"/>
      <c r="K198" s="4"/>
      <c r="L198" s="4"/>
      <c r="M198" s="4"/>
      <c r="N198" s="4"/>
      <c r="O198" s="4"/>
    </row>
    <row r="199" spans="1:15" ht="58.05" customHeight="1">
      <c r="A199" s="4"/>
      <c r="B199" s="4"/>
      <c r="C199" s="4"/>
      <c r="D199" s="4" t="str">
        <f>IF($C199="","",IFERROR(VLOOKUP($C199,'Test Case Catalogue'!$A$6:$M$90,2,FALSE),""))</f>
        <v/>
      </c>
      <c r="E199" s="4" t="str">
        <f>IF($C199="","",IFERROR(VLOOKUP($C199,'Test Case Catalogue'!$A$6:$M$90,4,FALSE),""))</f>
        <v/>
      </c>
      <c r="F199" s="4" t="str">
        <f>IF($C199="","",IFERROR(VLOOKUP($C199,'Test Case Catalogue'!$A$6:$M$90,9,FALSE),""))</f>
        <v/>
      </c>
      <c r="G199" s="4" t="str">
        <f>IF($C199="","",IFERROR(VLOOKUP($C199,'Test Case Catalogue'!$A$6:$M$90,10,FALSE),""))</f>
        <v/>
      </c>
      <c r="H199" s="4"/>
      <c r="I199" s="4"/>
      <c r="J199" s="8"/>
      <c r="K199" s="4"/>
      <c r="L199" s="4"/>
      <c r="M199" s="4"/>
      <c r="N199" s="4"/>
      <c r="O199" s="4"/>
    </row>
    <row r="200" spans="1:15" ht="58.05" customHeight="1">
      <c r="A200" s="4"/>
      <c r="B200" s="4"/>
      <c r="C200" s="4"/>
      <c r="D200" s="4" t="str">
        <f>IF($C200="","",IFERROR(VLOOKUP($C200,'Test Case Catalogue'!$A$6:$M$90,2,FALSE),""))</f>
        <v/>
      </c>
      <c r="E200" s="4" t="str">
        <f>IF($C200="","",IFERROR(VLOOKUP($C200,'Test Case Catalogue'!$A$6:$M$90,4,FALSE),""))</f>
        <v/>
      </c>
      <c r="F200" s="4" t="str">
        <f>IF($C200="","",IFERROR(VLOOKUP($C200,'Test Case Catalogue'!$A$6:$M$90,9,FALSE),""))</f>
        <v/>
      </c>
      <c r="G200" s="4" t="str">
        <f>IF($C200="","",IFERROR(VLOOKUP($C200,'Test Case Catalogue'!$A$6:$M$90,10,FALSE),""))</f>
        <v/>
      </c>
      <c r="H200" s="4"/>
      <c r="I200" s="4"/>
      <c r="J200" s="8"/>
      <c r="K200" s="4"/>
      <c r="L200" s="4"/>
      <c r="M200" s="4"/>
      <c r="N200" s="4"/>
      <c r="O200" s="4"/>
    </row>
    <row r="201" spans="1:15" ht="58.05" customHeight="1">
      <c r="A201" s="4"/>
      <c r="B201" s="4"/>
      <c r="C201" s="4"/>
      <c r="D201" s="4" t="str">
        <f>IF($C201="","",IFERROR(VLOOKUP($C201,'Test Case Catalogue'!$A$6:$M$90,2,FALSE),""))</f>
        <v/>
      </c>
      <c r="E201" s="4" t="str">
        <f>IF($C201="","",IFERROR(VLOOKUP($C201,'Test Case Catalogue'!$A$6:$M$90,4,FALSE),""))</f>
        <v/>
      </c>
      <c r="F201" s="4" t="str">
        <f>IF($C201="","",IFERROR(VLOOKUP($C201,'Test Case Catalogue'!$A$6:$M$90,9,FALSE),""))</f>
        <v/>
      </c>
      <c r="G201" s="4" t="str">
        <f>IF($C201="","",IFERROR(VLOOKUP($C201,'Test Case Catalogue'!$A$6:$M$90,10,FALSE),""))</f>
        <v/>
      </c>
      <c r="H201" s="4"/>
      <c r="I201" s="4"/>
      <c r="J201" s="8"/>
      <c r="K201" s="4"/>
      <c r="L201" s="4"/>
      <c r="M201" s="4"/>
      <c r="N201" s="4"/>
      <c r="O201" s="4"/>
    </row>
    <row r="202" spans="1:15" ht="58.05" customHeight="1">
      <c r="A202" s="4"/>
      <c r="B202" s="4"/>
      <c r="C202" s="4"/>
      <c r="D202" s="4" t="str">
        <f>IF($C202="","",IFERROR(VLOOKUP($C202,'Test Case Catalogue'!$A$6:$M$90,2,FALSE),""))</f>
        <v/>
      </c>
      <c r="E202" s="4" t="str">
        <f>IF($C202="","",IFERROR(VLOOKUP($C202,'Test Case Catalogue'!$A$6:$M$90,4,FALSE),""))</f>
        <v/>
      </c>
      <c r="F202" s="4" t="str">
        <f>IF($C202="","",IFERROR(VLOOKUP($C202,'Test Case Catalogue'!$A$6:$M$90,9,FALSE),""))</f>
        <v/>
      </c>
      <c r="G202" s="4" t="str">
        <f>IF($C202="","",IFERROR(VLOOKUP($C202,'Test Case Catalogue'!$A$6:$M$90,10,FALSE),""))</f>
        <v/>
      </c>
      <c r="H202" s="4"/>
      <c r="I202" s="4"/>
      <c r="J202" s="8"/>
      <c r="K202" s="4"/>
      <c r="L202" s="4"/>
      <c r="M202" s="4"/>
      <c r="N202" s="4"/>
      <c r="O202" s="4"/>
    </row>
    <row r="203" spans="1:15" ht="58.05" customHeight="1">
      <c r="A203" s="4"/>
      <c r="B203" s="4"/>
      <c r="C203" s="4"/>
      <c r="D203" s="4" t="str">
        <f>IF($C203="","",IFERROR(VLOOKUP($C203,'Test Case Catalogue'!$A$6:$M$90,2,FALSE),""))</f>
        <v/>
      </c>
      <c r="E203" s="4" t="str">
        <f>IF($C203="","",IFERROR(VLOOKUP($C203,'Test Case Catalogue'!$A$6:$M$90,4,FALSE),""))</f>
        <v/>
      </c>
      <c r="F203" s="4" t="str">
        <f>IF($C203="","",IFERROR(VLOOKUP($C203,'Test Case Catalogue'!$A$6:$M$90,9,FALSE),""))</f>
        <v/>
      </c>
      <c r="G203" s="4" t="str">
        <f>IF($C203="","",IFERROR(VLOOKUP($C203,'Test Case Catalogue'!$A$6:$M$90,10,FALSE),""))</f>
        <v/>
      </c>
      <c r="H203" s="4"/>
      <c r="I203" s="4"/>
      <c r="J203" s="8"/>
      <c r="K203" s="4"/>
      <c r="L203" s="4"/>
      <c r="M203" s="4"/>
      <c r="N203" s="4"/>
      <c r="O203" s="4"/>
    </row>
    <row r="204" spans="1:15" ht="58.05" customHeight="1">
      <c r="A204" s="4"/>
      <c r="B204" s="4"/>
      <c r="C204" s="4"/>
      <c r="D204" s="4" t="str">
        <f>IF($C204="","",IFERROR(VLOOKUP($C204,'Test Case Catalogue'!$A$6:$M$90,2,FALSE),""))</f>
        <v/>
      </c>
      <c r="E204" s="4" t="str">
        <f>IF($C204="","",IFERROR(VLOOKUP($C204,'Test Case Catalogue'!$A$6:$M$90,4,FALSE),""))</f>
        <v/>
      </c>
      <c r="F204" s="4" t="str">
        <f>IF($C204="","",IFERROR(VLOOKUP($C204,'Test Case Catalogue'!$A$6:$M$90,9,FALSE),""))</f>
        <v/>
      </c>
      <c r="G204" s="4" t="str">
        <f>IF($C204="","",IFERROR(VLOOKUP($C204,'Test Case Catalogue'!$A$6:$M$90,10,FALSE),""))</f>
        <v/>
      </c>
      <c r="H204" s="4"/>
      <c r="I204" s="4"/>
      <c r="J204" s="8"/>
      <c r="K204" s="4"/>
      <c r="L204" s="4"/>
      <c r="M204" s="4"/>
      <c r="N204" s="4"/>
      <c r="O204" s="4"/>
    </row>
    <row r="205" spans="1:15" ht="58.05" customHeight="1">
      <c r="A205" s="4"/>
      <c r="B205" s="4"/>
      <c r="C205" s="4"/>
      <c r="D205" s="4" t="str">
        <f>IF($C205="","",IFERROR(VLOOKUP($C205,'Test Case Catalogue'!$A$6:$M$90,2,FALSE),""))</f>
        <v/>
      </c>
      <c r="E205" s="4" t="str">
        <f>IF($C205="","",IFERROR(VLOOKUP($C205,'Test Case Catalogue'!$A$6:$M$90,4,FALSE),""))</f>
        <v/>
      </c>
      <c r="F205" s="4" t="str">
        <f>IF($C205="","",IFERROR(VLOOKUP($C205,'Test Case Catalogue'!$A$6:$M$90,9,FALSE),""))</f>
        <v/>
      </c>
      <c r="G205" s="4" t="str">
        <f>IF($C205="","",IFERROR(VLOOKUP($C205,'Test Case Catalogue'!$A$6:$M$90,10,FALSE),""))</f>
        <v/>
      </c>
      <c r="H205" s="4"/>
      <c r="I205" s="4"/>
      <c r="J205" s="8"/>
      <c r="K205" s="4"/>
      <c r="L205" s="4"/>
      <c r="M205" s="4"/>
      <c r="N205" s="4"/>
      <c r="O205" s="4"/>
    </row>
  </sheetData>
  <mergeCells count="3">
    <mergeCell ref="A1:O1"/>
    <mergeCell ref="A2:O2"/>
    <mergeCell ref="A4:O4"/>
  </mergeCells>
  <conditionalFormatting sqref="I6:I205">
    <cfRule type="containsText" dxfId="35" priority="1" operator="containsText" text="Pass"/>
    <cfRule type="containsText" dxfId="34" priority="2" operator="containsText" text="Fail"/>
    <cfRule type="containsText" dxfId="33" priority="3" operator="containsText" text="Blocked"/>
    <cfRule type="containsText" dxfId="32" priority="4" operator="containsText" text="Not Applicable"/>
  </conditionalFormatting>
  <conditionalFormatting sqref="M6:M205">
    <cfRule type="containsText" dxfId="31" priority="11" operator="containsText" text="Critical"/>
    <cfRule type="containsText" dxfId="30" priority="12" operator="containsText" text="High"/>
  </conditionalFormatting>
  <conditionalFormatting sqref="N6:N205">
    <cfRule type="containsText" dxfId="29" priority="6" operator="containsText" text="Pass"/>
    <cfRule type="containsText" dxfId="28" priority="7" operator="containsText" text="Fail"/>
    <cfRule type="containsText" dxfId="27" priority="8" operator="containsText" text="Blocked"/>
    <cfRule type="containsText" dxfId="26" priority="9" operator="containsText" text="Not Applicable"/>
  </conditionalFormatting>
  <dataValidations count="3">
    <dataValidation type="list" sqref="I6:I205" xr:uid="{00000000-0002-0000-0300-000001000000}">
      <formula1>"Not Run,Pass,Fail,Blocked,Not Applicable"</formula1>
    </dataValidation>
    <dataValidation type="list" sqref="M6:M205" xr:uid="{00000000-0002-0000-0300-000002000000}">
      <formula1>"Critical,High,Medium,Low"</formula1>
    </dataValidation>
    <dataValidation type="list" sqref="N6:N205" xr:uid="{00000000-0002-0000-0300-000003000000}">
      <formula1>"Not Required,Pending,Passed,Failed"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'Test Case Catalogue'!$A$6:$A$90</xm:f>
          </x14:formula1>
          <xm:sqref>C6:C205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5"/>
  <sheetViews>
    <sheetView showGridLines="0" tabSelected="1" workbookViewId="0">
      <selection activeCell="F8" sqref="F8"/>
    </sheetView>
  </sheetViews>
  <sheetFormatPr defaultRowHeight="13.8"/>
  <cols>
    <col min="1" max="1" width="13" customWidth="1"/>
    <col min="2" max="2" width="18" customWidth="1"/>
    <col min="3" max="3" width="30" customWidth="1"/>
    <col min="4" max="5" width="15" customWidth="1"/>
    <col min="6" max="6" width="20" customWidth="1"/>
    <col min="7" max="7" width="15" customWidth="1"/>
    <col min="8" max="8" width="20" customWidth="1"/>
    <col min="9" max="9" width="18" customWidth="1"/>
    <col min="10" max="10" width="21" customWidth="1"/>
    <col min="11" max="12" width="20" customWidth="1"/>
    <col min="13" max="13" width="19" customWidth="1"/>
    <col min="14" max="15" width="20" customWidth="1"/>
    <col min="16" max="16" width="17" customWidth="1"/>
    <col min="17" max="17" width="20" customWidth="1"/>
    <col min="18" max="19" width="23" customWidth="1"/>
    <col min="20" max="20" width="22" customWidth="1"/>
    <col min="21" max="21" width="18" customWidth="1"/>
    <col min="22" max="22" width="21" customWidth="1"/>
    <col min="23" max="23" width="38" customWidth="1"/>
  </cols>
  <sheetData>
    <row r="1" spans="1:23" ht="30" customHeight="1">
      <c r="A1" s="26" t="s">
        <v>667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30" customHeight="1">
      <c r="A2" s="27" t="s">
        <v>668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4" spans="1:23" ht="30" customHeight="1">
      <c r="A4" s="40" t="s">
        <v>669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ht="34.049999999999997" customHeight="1">
      <c r="A5" s="2" t="s">
        <v>670</v>
      </c>
      <c r="B5" s="2" t="s">
        <v>72</v>
      </c>
      <c r="C5" s="2" t="s">
        <v>671</v>
      </c>
      <c r="D5" s="2" t="s">
        <v>672</v>
      </c>
      <c r="E5" s="2" t="s">
        <v>673</v>
      </c>
      <c r="F5" s="2" t="s">
        <v>674</v>
      </c>
      <c r="G5" s="2" t="s">
        <v>675</v>
      </c>
      <c r="H5" s="2" t="s">
        <v>676</v>
      </c>
      <c r="I5" s="2" t="s">
        <v>677</v>
      </c>
      <c r="J5" s="2" t="s">
        <v>678</v>
      </c>
      <c r="K5" s="2" t="s">
        <v>679</v>
      </c>
      <c r="L5" s="2" t="s">
        <v>680</v>
      </c>
      <c r="M5" s="2" t="s">
        <v>681</v>
      </c>
      <c r="N5" s="2" t="s">
        <v>682</v>
      </c>
      <c r="O5" s="2" t="s">
        <v>683</v>
      </c>
      <c r="P5" s="2" t="s">
        <v>684</v>
      </c>
      <c r="Q5" s="2" t="s">
        <v>685</v>
      </c>
      <c r="R5" s="2" t="s">
        <v>686</v>
      </c>
      <c r="S5" s="2" t="s">
        <v>687</v>
      </c>
      <c r="T5" s="2" t="s">
        <v>688</v>
      </c>
      <c r="U5" s="2" t="s">
        <v>689</v>
      </c>
      <c r="V5" s="2" t="s">
        <v>690</v>
      </c>
      <c r="W5" s="2" t="s">
        <v>666</v>
      </c>
    </row>
    <row r="6" spans="1:23" ht="42" customHeight="1">
      <c r="A6" s="14" t="s">
        <v>691</v>
      </c>
      <c r="B6" s="14"/>
      <c r="C6" s="14" t="s">
        <v>692</v>
      </c>
      <c r="D6" s="15"/>
      <c r="E6" s="14"/>
      <c r="F6" s="14"/>
      <c r="G6" s="16">
        <v>85</v>
      </c>
      <c r="H6" s="16">
        <v>50</v>
      </c>
      <c r="I6" s="16">
        <v>7.5</v>
      </c>
      <c r="J6" s="14">
        <v>8</v>
      </c>
      <c r="K6" s="3" t="str">
        <f t="shared" ref="K6:K37" si="0">IF($C6="","",IF(COUNTA($E6:$F6)=0,"Model A",IF(COUNTA($D6)=0,"Model B","Model C")))</f>
        <v>Model A</v>
      </c>
      <c r="L6" s="3"/>
      <c r="M6" s="3" t="str">
        <f t="shared" ref="M6:M37" si="1">IF($L6="","",IF($K6=$L6,"Pass","Fail"))</f>
        <v/>
      </c>
      <c r="N6" s="11"/>
      <c r="O6" s="11"/>
      <c r="P6" s="11" t="str">
        <f t="shared" ref="P6:P37" si="2">IF(OR($N6="",$O6=""),"",ABS($N6-$O6))</f>
        <v/>
      </c>
      <c r="Q6" s="3" t="str">
        <f t="shared" ref="Q6:Q37" si="3">IF($N6="","",IF(AND($N6&gt;=0,$N6&lt;=4),"Pass","Fail"))</f>
        <v/>
      </c>
      <c r="R6" s="3" t="str">
        <f t="shared" ref="R6:R37" si="4">IF($P6="","",IF($P6&lt;=0.01,"Pass","Fail"))</f>
        <v/>
      </c>
      <c r="S6" s="3" t="str">
        <f t="shared" ref="S6:S37" si="5">IF($G6="","",IF($G6&lt;80,"Yes","No"))</f>
        <v>No</v>
      </c>
      <c r="T6" s="3"/>
      <c r="U6" s="3" t="str">
        <f t="shared" ref="U6:U37" si="6">IF($T6="","",IF($S6=$T6,"Pass","Fail"))</f>
        <v/>
      </c>
      <c r="V6" s="3"/>
      <c r="W6" s="3"/>
    </row>
    <row r="7" spans="1:23" ht="42" customHeight="1">
      <c r="A7" s="17" t="s">
        <v>693</v>
      </c>
      <c r="B7" s="17"/>
      <c r="C7" s="17" t="s">
        <v>694</v>
      </c>
      <c r="D7" s="18"/>
      <c r="E7" s="17"/>
      <c r="F7" s="17"/>
      <c r="G7" s="19">
        <v>80</v>
      </c>
      <c r="H7" s="19">
        <v>50</v>
      </c>
      <c r="I7" s="19">
        <v>7</v>
      </c>
      <c r="J7" s="17">
        <v>8</v>
      </c>
      <c r="K7" s="4" t="str">
        <f t="shared" si="0"/>
        <v>Model A</v>
      </c>
      <c r="L7" s="4"/>
      <c r="M7" s="4" t="str">
        <f t="shared" si="1"/>
        <v/>
      </c>
      <c r="N7" s="12"/>
      <c r="O7" s="12"/>
      <c r="P7" s="12" t="str">
        <f t="shared" si="2"/>
        <v/>
      </c>
      <c r="Q7" s="4" t="str">
        <f t="shared" si="3"/>
        <v/>
      </c>
      <c r="R7" s="4" t="str">
        <f t="shared" si="4"/>
        <v/>
      </c>
      <c r="S7" s="4" t="str">
        <f t="shared" si="5"/>
        <v>No</v>
      </c>
      <c r="T7" s="4"/>
      <c r="U7" s="4" t="str">
        <f t="shared" si="6"/>
        <v/>
      </c>
      <c r="V7" s="4"/>
      <c r="W7" s="4"/>
    </row>
    <row r="8" spans="1:23" ht="42" customHeight="1">
      <c r="A8" s="17" t="s">
        <v>695</v>
      </c>
      <c r="B8" s="17"/>
      <c r="C8" s="17" t="s">
        <v>696</v>
      </c>
      <c r="D8" s="18"/>
      <c r="E8" s="17"/>
      <c r="F8" s="17"/>
      <c r="G8" s="19">
        <v>79.900000000000006</v>
      </c>
      <c r="H8" s="19">
        <v>40</v>
      </c>
      <c r="I8" s="19">
        <v>6.5</v>
      </c>
      <c r="J8" s="17">
        <v>16</v>
      </c>
      <c r="K8" s="4" t="str">
        <f t="shared" si="0"/>
        <v>Model A</v>
      </c>
      <c r="L8" s="4"/>
      <c r="M8" s="4" t="str">
        <f t="shared" si="1"/>
        <v/>
      </c>
      <c r="N8" s="12"/>
      <c r="O8" s="12"/>
      <c r="P8" s="12" t="str">
        <f t="shared" si="2"/>
        <v/>
      </c>
      <c r="Q8" s="4" t="str">
        <f t="shared" si="3"/>
        <v/>
      </c>
      <c r="R8" s="4" t="str">
        <f t="shared" si="4"/>
        <v/>
      </c>
      <c r="S8" s="4" t="str">
        <f t="shared" si="5"/>
        <v>Yes</v>
      </c>
      <c r="T8" s="4"/>
      <c r="U8" s="4" t="str">
        <f t="shared" si="6"/>
        <v/>
      </c>
      <c r="V8" s="4"/>
      <c r="W8" s="4"/>
    </row>
    <row r="9" spans="1:23" ht="42" customHeight="1">
      <c r="A9" s="17" t="s">
        <v>697</v>
      </c>
      <c r="B9" s="17"/>
      <c r="C9" s="17" t="s">
        <v>698</v>
      </c>
      <c r="D9" s="18"/>
      <c r="E9" s="17"/>
      <c r="F9" s="17"/>
      <c r="G9" s="19">
        <v>70</v>
      </c>
      <c r="H9" s="19">
        <v>25</v>
      </c>
      <c r="I9" s="19">
        <v>5</v>
      </c>
      <c r="J9" s="17">
        <v>24</v>
      </c>
      <c r="K9" s="4" t="str">
        <f t="shared" si="0"/>
        <v>Model A</v>
      </c>
      <c r="L9" s="4"/>
      <c r="M9" s="4" t="str">
        <f t="shared" si="1"/>
        <v/>
      </c>
      <c r="N9" s="12"/>
      <c r="O9" s="12"/>
      <c r="P9" s="12" t="str">
        <f t="shared" si="2"/>
        <v/>
      </c>
      <c r="Q9" s="4" t="str">
        <f t="shared" si="3"/>
        <v/>
      </c>
      <c r="R9" s="4" t="str">
        <f t="shared" si="4"/>
        <v/>
      </c>
      <c r="S9" s="4" t="str">
        <f t="shared" si="5"/>
        <v>Yes</v>
      </c>
      <c r="T9" s="4"/>
      <c r="U9" s="4" t="str">
        <f t="shared" si="6"/>
        <v/>
      </c>
      <c r="V9" s="4"/>
      <c r="W9" s="4"/>
    </row>
    <row r="10" spans="1:23" ht="42" customHeight="1">
      <c r="A10" s="17" t="s">
        <v>699</v>
      </c>
      <c r="B10" s="17"/>
      <c r="C10" s="17" t="s">
        <v>700</v>
      </c>
      <c r="D10" s="18"/>
      <c r="E10" s="17">
        <v>18</v>
      </c>
      <c r="F10" s="17">
        <v>18</v>
      </c>
      <c r="G10" s="19">
        <v>95</v>
      </c>
      <c r="H10" s="19">
        <v>55</v>
      </c>
      <c r="I10" s="19">
        <v>8</v>
      </c>
      <c r="J10" s="17">
        <v>4</v>
      </c>
      <c r="K10" s="4" t="str">
        <f t="shared" si="0"/>
        <v>Model B</v>
      </c>
      <c r="L10" s="4"/>
      <c r="M10" s="4" t="str">
        <f t="shared" si="1"/>
        <v/>
      </c>
      <c r="N10" s="12"/>
      <c r="O10" s="12"/>
      <c r="P10" s="12" t="str">
        <f t="shared" si="2"/>
        <v/>
      </c>
      <c r="Q10" s="4" t="str">
        <f t="shared" si="3"/>
        <v/>
      </c>
      <c r="R10" s="4" t="str">
        <f t="shared" si="4"/>
        <v/>
      </c>
      <c r="S10" s="4" t="str">
        <f t="shared" si="5"/>
        <v>No</v>
      </c>
      <c r="T10" s="4"/>
      <c r="U10" s="4" t="str">
        <f t="shared" si="6"/>
        <v/>
      </c>
      <c r="V10" s="4"/>
      <c r="W10" s="4"/>
    </row>
    <row r="11" spans="1:23" ht="42" customHeight="1">
      <c r="A11" s="17" t="s">
        <v>701</v>
      </c>
      <c r="B11" s="17"/>
      <c r="C11" s="17" t="s">
        <v>702</v>
      </c>
      <c r="D11" s="18"/>
      <c r="E11" s="17">
        <v>14</v>
      </c>
      <c r="F11" s="17">
        <v>15</v>
      </c>
      <c r="G11" s="19">
        <v>85</v>
      </c>
      <c r="H11" s="19">
        <v>50</v>
      </c>
      <c r="I11" s="19">
        <v>7.5</v>
      </c>
      <c r="J11" s="17">
        <v>8</v>
      </c>
      <c r="K11" s="4" t="str">
        <f t="shared" si="0"/>
        <v>Model B</v>
      </c>
      <c r="L11" s="4"/>
      <c r="M11" s="4" t="str">
        <f t="shared" si="1"/>
        <v/>
      </c>
      <c r="N11" s="12"/>
      <c r="O11" s="12"/>
      <c r="P11" s="12" t="str">
        <f t="shared" si="2"/>
        <v/>
      </c>
      <c r="Q11" s="4" t="str">
        <f t="shared" si="3"/>
        <v/>
      </c>
      <c r="R11" s="4" t="str">
        <f t="shared" si="4"/>
        <v/>
      </c>
      <c r="S11" s="4" t="str">
        <f t="shared" si="5"/>
        <v>No</v>
      </c>
      <c r="T11" s="4"/>
      <c r="U11" s="4" t="str">
        <f t="shared" si="6"/>
        <v/>
      </c>
      <c r="V11" s="4"/>
      <c r="W11" s="4"/>
    </row>
    <row r="12" spans="1:23" ht="42" customHeight="1">
      <c r="A12" s="17" t="s">
        <v>703</v>
      </c>
      <c r="B12" s="17"/>
      <c r="C12" s="17" t="s">
        <v>704</v>
      </c>
      <c r="D12" s="18"/>
      <c r="E12" s="17">
        <v>0</v>
      </c>
      <c r="F12" s="17">
        <v>0</v>
      </c>
      <c r="G12" s="19">
        <v>80</v>
      </c>
      <c r="H12" s="19">
        <v>35</v>
      </c>
      <c r="I12" s="19">
        <v>7</v>
      </c>
      <c r="J12" s="17">
        <v>12</v>
      </c>
      <c r="K12" s="4" t="str">
        <f t="shared" si="0"/>
        <v>Model B</v>
      </c>
      <c r="L12" s="4"/>
      <c r="M12" s="4" t="str">
        <f t="shared" si="1"/>
        <v/>
      </c>
      <c r="N12" s="12"/>
      <c r="O12" s="12"/>
      <c r="P12" s="12" t="str">
        <f t="shared" si="2"/>
        <v/>
      </c>
      <c r="Q12" s="4" t="str">
        <f t="shared" si="3"/>
        <v/>
      </c>
      <c r="R12" s="4" t="str">
        <f t="shared" si="4"/>
        <v/>
      </c>
      <c r="S12" s="4" t="str">
        <f t="shared" si="5"/>
        <v>No</v>
      </c>
      <c r="T12" s="4"/>
      <c r="U12" s="4" t="str">
        <f t="shared" si="6"/>
        <v/>
      </c>
      <c r="V12" s="4"/>
      <c r="W12" s="4"/>
    </row>
    <row r="13" spans="1:23" ht="42" customHeight="1">
      <c r="A13" s="17" t="s">
        <v>705</v>
      </c>
      <c r="B13" s="17"/>
      <c r="C13" s="17" t="s">
        <v>706</v>
      </c>
      <c r="D13" s="18"/>
      <c r="E13" s="17">
        <v>20</v>
      </c>
      <c r="F13" s="17">
        <v>20</v>
      </c>
      <c r="G13" s="19">
        <v>90</v>
      </c>
      <c r="H13" s="19">
        <v>55</v>
      </c>
      <c r="I13" s="19">
        <v>8.5</v>
      </c>
      <c r="J13" s="17">
        <v>2</v>
      </c>
      <c r="K13" s="4" t="str">
        <f t="shared" si="0"/>
        <v>Model B</v>
      </c>
      <c r="L13" s="4"/>
      <c r="M13" s="4" t="str">
        <f t="shared" si="1"/>
        <v/>
      </c>
      <c r="N13" s="12"/>
      <c r="O13" s="12"/>
      <c r="P13" s="12" t="str">
        <f t="shared" si="2"/>
        <v/>
      </c>
      <c r="Q13" s="4" t="str">
        <f t="shared" si="3"/>
        <v/>
      </c>
      <c r="R13" s="4" t="str">
        <f t="shared" si="4"/>
        <v/>
      </c>
      <c r="S13" s="4" t="str">
        <f t="shared" si="5"/>
        <v>No</v>
      </c>
      <c r="T13" s="4"/>
      <c r="U13" s="4" t="str">
        <f t="shared" si="6"/>
        <v/>
      </c>
      <c r="V13" s="4"/>
      <c r="W13" s="4"/>
    </row>
    <row r="14" spans="1:23" ht="42" customHeight="1">
      <c r="A14" s="17" t="s">
        <v>707</v>
      </c>
      <c r="B14" s="17"/>
      <c r="C14" s="17" t="s">
        <v>708</v>
      </c>
      <c r="D14" s="18">
        <v>3.7</v>
      </c>
      <c r="E14" s="17">
        <v>18</v>
      </c>
      <c r="F14" s="17">
        <v>18</v>
      </c>
      <c r="G14" s="19">
        <v>95</v>
      </c>
      <c r="H14" s="19">
        <v>55</v>
      </c>
      <c r="I14" s="19">
        <v>8</v>
      </c>
      <c r="J14" s="17">
        <v>4</v>
      </c>
      <c r="K14" s="4" t="str">
        <f t="shared" si="0"/>
        <v>Model C</v>
      </c>
      <c r="L14" s="4"/>
      <c r="M14" s="4" t="str">
        <f t="shared" si="1"/>
        <v/>
      </c>
      <c r="N14" s="12"/>
      <c r="O14" s="12"/>
      <c r="P14" s="12" t="str">
        <f t="shared" si="2"/>
        <v/>
      </c>
      <c r="Q14" s="4" t="str">
        <f t="shared" si="3"/>
        <v/>
      </c>
      <c r="R14" s="4" t="str">
        <f t="shared" si="4"/>
        <v/>
      </c>
      <c r="S14" s="4" t="str">
        <f t="shared" si="5"/>
        <v>No</v>
      </c>
      <c r="T14" s="4"/>
      <c r="U14" s="4" t="str">
        <f t="shared" si="6"/>
        <v/>
      </c>
      <c r="V14" s="4"/>
      <c r="W14" s="4"/>
    </row>
    <row r="15" spans="1:23" ht="42" customHeight="1">
      <c r="A15" s="17" t="s">
        <v>709</v>
      </c>
      <c r="B15" s="17"/>
      <c r="C15" s="17" t="s">
        <v>710</v>
      </c>
      <c r="D15" s="18">
        <v>3.1</v>
      </c>
      <c r="E15" s="17">
        <v>15</v>
      </c>
      <c r="F15" s="17">
        <v>16</v>
      </c>
      <c r="G15" s="19">
        <v>85</v>
      </c>
      <c r="H15" s="19">
        <v>50</v>
      </c>
      <c r="I15" s="19">
        <v>7.5</v>
      </c>
      <c r="J15" s="17">
        <v>8</v>
      </c>
      <c r="K15" s="4" t="str">
        <f t="shared" si="0"/>
        <v>Model C</v>
      </c>
      <c r="L15" s="4"/>
      <c r="M15" s="4" t="str">
        <f t="shared" si="1"/>
        <v/>
      </c>
      <c r="N15" s="12"/>
      <c r="O15" s="12"/>
      <c r="P15" s="12" t="str">
        <f t="shared" si="2"/>
        <v/>
      </c>
      <c r="Q15" s="4" t="str">
        <f t="shared" si="3"/>
        <v/>
      </c>
      <c r="R15" s="4" t="str">
        <f t="shared" si="4"/>
        <v/>
      </c>
      <c r="S15" s="4" t="str">
        <f t="shared" si="5"/>
        <v>No</v>
      </c>
      <c r="T15" s="4"/>
      <c r="U15" s="4" t="str">
        <f t="shared" si="6"/>
        <v/>
      </c>
      <c r="V15" s="4"/>
      <c r="W15" s="4"/>
    </row>
    <row r="16" spans="1:23" ht="42" customHeight="1">
      <c r="A16" s="17" t="s">
        <v>711</v>
      </c>
      <c r="B16" s="17"/>
      <c r="C16" s="17" t="s">
        <v>712</v>
      </c>
      <c r="D16" s="18">
        <v>0</v>
      </c>
      <c r="E16" s="17">
        <v>10</v>
      </c>
      <c r="F16" s="17">
        <v>10</v>
      </c>
      <c r="G16" s="19">
        <v>80</v>
      </c>
      <c r="H16" s="19">
        <v>40</v>
      </c>
      <c r="I16" s="19">
        <v>7</v>
      </c>
      <c r="J16" s="17">
        <v>12</v>
      </c>
      <c r="K16" s="4" t="str">
        <f t="shared" si="0"/>
        <v>Model C</v>
      </c>
      <c r="L16" s="4"/>
      <c r="M16" s="4" t="str">
        <f t="shared" si="1"/>
        <v/>
      </c>
      <c r="N16" s="12"/>
      <c r="O16" s="12"/>
      <c r="P16" s="12" t="str">
        <f t="shared" si="2"/>
        <v/>
      </c>
      <c r="Q16" s="4" t="str">
        <f t="shared" si="3"/>
        <v/>
      </c>
      <c r="R16" s="4" t="str">
        <f t="shared" si="4"/>
        <v/>
      </c>
      <c r="S16" s="4" t="str">
        <f t="shared" si="5"/>
        <v>No</v>
      </c>
      <c r="T16" s="4"/>
      <c r="U16" s="4" t="str">
        <f t="shared" si="6"/>
        <v/>
      </c>
      <c r="V16" s="4"/>
      <c r="W16" s="4"/>
    </row>
    <row r="17" spans="1:23" ht="42" customHeight="1">
      <c r="A17" s="17" t="s">
        <v>713</v>
      </c>
      <c r="B17" s="17"/>
      <c r="C17" s="17" t="s">
        <v>714</v>
      </c>
      <c r="D17" s="18">
        <v>4</v>
      </c>
      <c r="E17" s="17">
        <v>20</v>
      </c>
      <c r="F17" s="17">
        <v>20</v>
      </c>
      <c r="G17" s="19">
        <v>95</v>
      </c>
      <c r="H17" s="19">
        <v>55</v>
      </c>
      <c r="I17" s="19">
        <v>8</v>
      </c>
      <c r="J17" s="17">
        <v>2</v>
      </c>
      <c r="K17" s="4" t="str">
        <f t="shared" si="0"/>
        <v>Model C</v>
      </c>
      <c r="L17" s="4"/>
      <c r="M17" s="4" t="str">
        <f t="shared" si="1"/>
        <v/>
      </c>
      <c r="N17" s="12"/>
      <c r="O17" s="12"/>
      <c r="P17" s="12" t="str">
        <f t="shared" si="2"/>
        <v/>
      </c>
      <c r="Q17" s="4" t="str">
        <f t="shared" si="3"/>
        <v/>
      </c>
      <c r="R17" s="4" t="str">
        <f t="shared" si="4"/>
        <v/>
      </c>
      <c r="S17" s="4" t="str">
        <f t="shared" si="5"/>
        <v>No</v>
      </c>
      <c r="T17" s="4"/>
      <c r="U17" s="4" t="str">
        <f t="shared" si="6"/>
        <v/>
      </c>
      <c r="V17" s="4"/>
      <c r="W17" s="4"/>
    </row>
    <row r="18" spans="1:23" ht="42" customHeight="1">
      <c r="A18" s="17" t="s">
        <v>715</v>
      </c>
      <c r="B18" s="17"/>
      <c r="C18" s="17" t="s">
        <v>716</v>
      </c>
      <c r="D18" s="18">
        <v>2</v>
      </c>
      <c r="E18" s="17">
        <v>6</v>
      </c>
      <c r="F18" s="17">
        <v>7</v>
      </c>
      <c r="G18" s="19">
        <v>70</v>
      </c>
      <c r="H18" s="19">
        <v>25</v>
      </c>
      <c r="I18" s="19">
        <v>5</v>
      </c>
      <c r="J18" s="17">
        <v>24</v>
      </c>
      <c r="K18" s="4" t="str">
        <f t="shared" si="0"/>
        <v>Model C</v>
      </c>
      <c r="L18" s="4"/>
      <c r="M18" s="4" t="str">
        <f t="shared" si="1"/>
        <v/>
      </c>
      <c r="N18" s="12"/>
      <c r="O18" s="12"/>
      <c r="P18" s="12" t="str">
        <f t="shared" si="2"/>
        <v/>
      </c>
      <c r="Q18" s="4" t="str">
        <f t="shared" si="3"/>
        <v/>
      </c>
      <c r="R18" s="4" t="str">
        <f t="shared" si="4"/>
        <v/>
      </c>
      <c r="S18" s="4" t="str">
        <f t="shared" si="5"/>
        <v>Yes</v>
      </c>
      <c r="T18" s="4"/>
      <c r="U18" s="4" t="str">
        <f t="shared" si="6"/>
        <v/>
      </c>
      <c r="V18" s="4"/>
      <c r="W18" s="4"/>
    </row>
    <row r="19" spans="1:23" ht="42" customHeight="1">
      <c r="A19" s="4"/>
      <c r="B19" s="4"/>
      <c r="C19" s="4"/>
      <c r="D19" s="12"/>
      <c r="E19" s="4"/>
      <c r="F19" s="4"/>
      <c r="G19" s="13"/>
      <c r="H19" s="13"/>
      <c r="I19" s="13"/>
      <c r="J19" s="4"/>
      <c r="K19" s="4" t="str">
        <f t="shared" si="0"/>
        <v/>
      </c>
      <c r="L19" s="4"/>
      <c r="M19" s="4" t="str">
        <f t="shared" si="1"/>
        <v/>
      </c>
      <c r="N19" s="12"/>
      <c r="O19" s="12"/>
      <c r="P19" s="12" t="str">
        <f t="shared" si="2"/>
        <v/>
      </c>
      <c r="Q19" s="4" t="str">
        <f t="shared" si="3"/>
        <v/>
      </c>
      <c r="R19" s="4" t="str">
        <f t="shared" si="4"/>
        <v/>
      </c>
      <c r="S19" s="4" t="str">
        <f t="shared" si="5"/>
        <v/>
      </c>
      <c r="T19" s="4"/>
      <c r="U19" s="4" t="str">
        <f t="shared" si="6"/>
        <v/>
      </c>
      <c r="V19" s="4"/>
      <c r="W19" s="4"/>
    </row>
    <row r="20" spans="1:23" ht="42" customHeight="1">
      <c r="A20" s="4"/>
      <c r="B20" s="4"/>
      <c r="C20" s="4"/>
      <c r="D20" s="12"/>
      <c r="E20" s="4"/>
      <c r="F20" s="4"/>
      <c r="G20" s="13"/>
      <c r="H20" s="13"/>
      <c r="I20" s="13"/>
      <c r="J20" s="4"/>
      <c r="K20" s="4" t="str">
        <f t="shared" si="0"/>
        <v/>
      </c>
      <c r="L20" s="4"/>
      <c r="M20" s="4" t="str">
        <f t="shared" si="1"/>
        <v/>
      </c>
      <c r="N20" s="12"/>
      <c r="O20" s="12"/>
      <c r="P20" s="12" t="str">
        <f t="shared" si="2"/>
        <v/>
      </c>
      <c r="Q20" s="4" t="str">
        <f t="shared" si="3"/>
        <v/>
      </c>
      <c r="R20" s="4" t="str">
        <f t="shared" si="4"/>
        <v/>
      </c>
      <c r="S20" s="4" t="str">
        <f t="shared" si="5"/>
        <v/>
      </c>
      <c r="T20" s="4"/>
      <c r="U20" s="4" t="str">
        <f t="shared" si="6"/>
        <v/>
      </c>
      <c r="V20" s="4"/>
      <c r="W20" s="4"/>
    </row>
    <row r="21" spans="1:23" ht="42" customHeight="1">
      <c r="A21" s="4"/>
      <c r="B21" s="4"/>
      <c r="C21" s="4"/>
      <c r="D21" s="12"/>
      <c r="E21" s="4"/>
      <c r="F21" s="4"/>
      <c r="G21" s="13"/>
      <c r="H21" s="13"/>
      <c r="I21" s="13"/>
      <c r="J21" s="4"/>
      <c r="K21" s="4" t="str">
        <f t="shared" si="0"/>
        <v/>
      </c>
      <c r="L21" s="4"/>
      <c r="M21" s="4" t="str">
        <f t="shared" si="1"/>
        <v/>
      </c>
      <c r="N21" s="12"/>
      <c r="O21" s="12"/>
      <c r="P21" s="12" t="str">
        <f t="shared" si="2"/>
        <v/>
      </c>
      <c r="Q21" s="4" t="str">
        <f t="shared" si="3"/>
        <v/>
      </c>
      <c r="R21" s="4" t="str">
        <f t="shared" si="4"/>
        <v/>
      </c>
      <c r="S21" s="4" t="str">
        <f t="shared" si="5"/>
        <v/>
      </c>
      <c r="T21" s="4"/>
      <c r="U21" s="4" t="str">
        <f t="shared" si="6"/>
        <v/>
      </c>
      <c r="V21" s="4"/>
      <c r="W21" s="4"/>
    </row>
    <row r="22" spans="1:23" ht="42" customHeight="1">
      <c r="A22" s="4"/>
      <c r="B22" s="4"/>
      <c r="C22" s="4"/>
      <c r="D22" s="12"/>
      <c r="E22" s="4"/>
      <c r="F22" s="4"/>
      <c r="G22" s="13"/>
      <c r="H22" s="13"/>
      <c r="I22" s="13"/>
      <c r="J22" s="4"/>
      <c r="K22" s="4" t="str">
        <f t="shared" si="0"/>
        <v/>
      </c>
      <c r="L22" s="4"/>
      <c r="M22" s="4" t="str">
        <f t="shared" si="1"/>
        <v/>
      </c>
      <c r="N22" s="12"/>
      <c r="O22" s="12"/>
      <c r="P22" s="12" t="str">
        <f t="shared" si="2"/>
        <v/>
      </c>
      <c r="Q22" s="4" t="str">
        <f t="shared" si="3"/>
        <v/>
      </c>
      <c r="R22" s="4" t="str">
        <f t="shared" si="4"/>
        <v/>
      </c>
      <c r="S22" s="4" t="str">
        <f t="shared" si="5"/>
        <v/>
      </c>
      <c r="T22" s="4"/>
      <c r="U22" s="4" t="str">
        <f t="shared" si="6"/>
        <v/>
      </c>
      <c r="V22" s="4"/>
      <c r="W22" s="4"/>
    </row>
    <row r="23" spans="1:23" ht="42" customHeight="1">
      <c r="A23" s="4"/>
      <c r="B23" s="4"/>
      <c r="C23" s="4"/>
      <c r="D23" s="12"/>
      <c r="E23" s="4"/>
      <c r="F23" s="4"/>
      <c r="G23" s="13"/>
      <c r="H23" s="13"/>
      <c r="I23" s="13"/>
      <c r="J23" s="4"/>
      <c r="K23" s="4" t="str">
        <f t="shared" si="0"/>
        <v/>
      </c>
      <c r="L23" s="4"/>
      <c r="M23" s="4" t="str">
        <f t="shared" si="1"/>
        <v/>
      </c>
      <c r="N23" s="12"/>
      <c r="O23" s="12"/>
      <c r="P23" s="12" t="str">
        <f t="shared" si="2"/>
        <v/>
      </c>
      <c r="Q23" s="4" t="str">
        <f t="shared" si="3"/>
        <v/>
      </c>
      <c r="R23" s="4" t="str">
        <f t="shared" si="4"/>
        <v/>
      </c>
      <c r="S23" s="4" t="str">
        <f t="shared" si="5"/>
        <v/>
      </c>
      <c r="T23" s="4"/>
      <c r="U23" s="4" t="str">
        <f t="shared" si="6"/>
        <v/>
      </c>
      <c r="V23" s="4"/>
      <c r="W23" s="4"/>
    </row>
    <row r="24" spans="1:23" ht="42" customHeight="1">
      <c r="A24" s="4"/>
      <c r="B24" s="4"/>
      <c r="C24" s="4"/>
      <c r="D24" s="12"/>
      <c r="E24" s="4"/>
      <c r="F24" s="4"/>
      <c r="G24" s="13"/>
      <c r="H24" s="13"/>
      <c r="I24" s="13"/>
      <c r="J24" s="4"/>
      <c r="K24" s="4" t="str">
        <f t="shared" si="0"/>
        <v/>
      </c>
      <c r="L24" s="4"/>
      <c r="M24" s="4" t="str">
        <f t="shared" si="1"/>
        <v/>
      </c>
      <c r="N24" s="12"/>
      <c r="O24" s="12"/>
      <c r="P24" s="12" t="str">
        <f t="shared" si="2"/>
        <v/>
      </c>
      <c r="Q24" s="4" t="str">
        <f t="shared" si="3"/>
        <v/>
      </c>
      <c r="R24" s="4" t="str">
        <f t="shared" si="4"/>
        <v/>
      </c>
      <c r="S24" s="4" t="str">
        <f t="shared" si="5"/>
        <v/>
      </c>
      <c r="T24" s="4"/>
      <c r="U24" s="4" t="str">
        <f t="shared" si="6"/>
        <v/>
      </c>
      <c r="V24" s="4"/>
      <c r="W24" s="4"/>
    </row>
    <row r="25" spans="1:23" ht="42" customHeight="1">
      <c r="A25" s="4"/>
      <c r="B25" s="4"/>
      <c r="C25" s="4"/>
      <c r="D25" s="12"/>
      <c r="E25" s="4"/>
      <c r="F25" s="4"/>
      <c r="G25" s="13"/>
      <c r="H25" s="13"/>
      <c r="I25" s="13"/>
      <c r="J25" s="4"/>
      <c r="K25" s="4" t="str">
        <f t="shared" si="0"/>
        <v/>
      </c>
      <c r="L25" s="4"/>
      <c r="M25" s="4" t="str">
        <f t="shared" si="1"/>
        <v/>
      </c>
      <c r="N25" s="12"/>
      <c r="O25" s="12"/>
      <c r="P25" s="12" t="str">
        <f t="shared" si="2"/>
        <v/>
      </c>
      <c r="Q25" s="4" t="str">
        <f t="shared" si="3"/>
        <v/>
      </c>
      <c r="R25" s="4" t="str">
        <f t="shared" si="4"/>
        <v/>
      </c>
      <c r="S25" s="4" t="str">
        <f t="shared" si="5"/>
        <v/>
      </c>
      <c r="T25" s="4"/>
      <c r="U25" s="4" t="str">
        <f t="shared" si="6"/>
        <v/>
      </c>
      <c r="V25" s="4"/>
      <c r="W25" s="4"/>
    </row>
    <row r="26" spans="1:23" ht="42" customHeight="1">
      <c r="A26" s="4"/>
      <c r="B26" s="4"/>
      <c r="C26" s="4"/>
      <c r="D26" s="12"/>
      <c r="E26" s="4"/>
      <c r="F26" s="4"/>
      <c r="G26" s="13"/>
      <c r="H26" s="13"/>
      <c r="I26" s="13"/>
      <c r="J26" s="4"/>
      <c r="K26" s="4" t="str">
        <f t="shared" si="0"/>
        <v/>
      </c>
      <c r="L26" s="4"/>
      <c r="M26" s="4" t="str">
        <f t="shared" si="1"/>
        <v/>
      </c>
      <c r="N26" s="12"/>
      <c r="O26" s="12"/>
      <c r="P26" s="12" t="str">
        <f t="shared" si="2"/>
        <v/>
      </c>
      <c r="Q26" s="4" t="str">
        <f t="shared" si="3"/>
        <v/>
      </c>
      <c r="R26" s="4" t="str">
        <f t="shared" si="4"/>
        <v/>
      </c>
      <c r="S26" s="4" t="str">
        <f t="shared" si="5"/>
        <v/>
      </c>
      <c r="T26" s="4"/>
      <c r="U26" s="4" t="str">
        <f t="shared" si="6"/>
        <v/>
      </c>
      <c r="V26" s="4"/>
      <c r="W26" s="4"/>
    </row>
    <row r="27" spans="1:23" ht="42" customHeight="1">
      <c r="A27" s="4"/>
      <c r="B27" s="4"/>
      <c r="C27" s="4"/>
      <c r="D27" s="12"/>
      <c r="E27" s="4"/>
      <c r="F27" s="4"/>
      <c r="G27" s="13"/>
      <c r="H27" s="13"/>
      <c r="I27" s="13"/>
      <c r="J27" s="4"/>
      <c r="K27" s="4" t="str">
        <f t="shared" si="0"/>
        <v/>
      </c>
      <c r="L27" s="4"/>
      <c r="M27" s="4" t="str">
        <f t="shared" si="1"/>
        <v/>
      </c>
      <c r="N27" s="12"/>
      <c r="O27" s="12"/>
      <c r="P27" s="12" t="str">
        <f t="shared" si="2"/>
        <v/>
      </c>
      <c r="Q27" s="4" t="str">
        <f t="shared" si="3"/>
        <v/>
      </c>
      <c r="R27" s="4" t="str">
        <f t="shared" si="4"/>
        <v/>
      </c>
      <c r="S27" s="4" t="str">
        <f t="shared" si="5"/>
        <v/>
      </c>
      <c r="T27" s="4"/>
      <c r="U27" s="4" t="str">
        <f t="shared" si="6"/>
        <v/>
      </c>
      <c r="V27" s="4"/>
      <c r="W27" s="4"/>
    </row>
    <row r="28" spans="1:23" ht="42" customHeight="1">
      <c r="A28" s="4"/>
      <c r="B28" s="4"/>
      <c r="C28" s="4"/>
      <c r="D28" s="12"/>
      <c r="E28" s="4"/>
      <c r="F28" s="4"/>
      <c r="G28" s="13"/>
      <c r="H28" s="13"/>
      <c r="I28" s="13"/>
      <c r="J28" s="4"/>
      <c r="K28" s="4" t="str">
        <f t="shared" si="0"/>
        <v/>
      </c>
      <c r="L28" s="4"/>
      <c r="M28" s="4" t="str">
        <f t="shared" si="1"/>
        <v/>
      </c>
      <c r="N28" s="12"/>
      <c r="O28" s="12"/>
      <c r="P28" s="12" t="str">
        <f t="shared" si="2"/>
        <v/>
      </c>
      <c r="Q28" s="4" t="str">
        <f t="shared" si="3"/>
        <v/>
      </c>
      <c r="R28" s="4" t="str">
        <f t="shared" si="4"/>
        <v/>
      </c>
      <c r="S28" s="4" t="str">
        <f t="shared" si="5"/>
        <v/>
      </c>
      <c r="T28" s="4"/>
      <c r="U28" s="4" t="str">
        <f t="shared" si="6"/>
        <v/>
      </c>
      <c r="V28" s="4"/>
      <c r="W28" s="4"/>
    </row>
    <row r="29" spans="1:23" ht="42" customHeight="1">
      <c r="A29" s="4"/>
      <c r="B29" s="4"/>
      <c r="C29" s="4"/>
      <c r="D29" s="12"/>
      <c r="E29" s="4"/>
      <c r="F29" s="4"/>
      <c r="G29" s="13"/>
      <c r="H29" s="13"/>
      <c r="I29" s="13"/>
      <c r="J29" s="4"/>
      <c r="K29" s="4" t="str">
        <f t="shared" si="0"/>
        <v/>
      </c>
      <c r="L29" s="4"/>
      <c r="M29" s="4" t="str">
        <f t="shared" si="1"/>
        <v/>
      </c>
      <c r="N29" s="12"/>
      <c r="O29" s="12"/>
      <c r="P29" s="12" t="str">
        <f t="shared" si="2"/>
        <v/>
      </c>
      <c r="Q29" s="4" t="str">
        <f t="shared" si="3"/>
        <v/>
      </c>
      <c r="R29" s="4" t="str">
        <f t="shared" si="4"/>
        <v/>
      </c>
      <c r="S29" s="4" t="str">
        <f t="shared" si="5"/>
        <v/>
      </c>
      <c r="T29" s="4"/>
      <c r="U29" s="4" t="str">
        <f t="shared" si="6"/>
        <v/>
      </c>
      <c r="V29" s="4"/>
      <c r="W29" s="4"/>
    </row>
    <row r="30" spans="1:23" ht="42" customHeight="1">
      <c r="A30" s="4"/>
      <c r="B30" s="4"/>
      <c r="C30" s="4"/>
      <c r="D30" s="12"/>
      <c r="E30" s="4"/>
      <c r="F30" s="4"/>
      <c r="G30" s="13"/>
      <c r="H30" s="13"/>
      <c r="I30" s="13"/>
      <c r="J30" s="4"/>
      <c r="K30" s="4" t="str">
        <f t="shared" si="0"/>
        <v/>
      </c>
      <c r="L30" s="4"/>
      <c r="M30" s="4" t="str">
        <f t="shared" si="1"/>
        <v/>
      </c>
      <c r="N30" s="12"/>
      <c r="O30" s="12"/>
      <c r="P30" s="12" t="str">
        <f t="shared" si="2"/>
        <v/>
      </c>
      <c r="Q30" s="4" t="str">
        <f t="shared" si="3"/>
        <v/>
      </c>
      <c r="R30" s="4" t="str">
        <f t="shared" si="4"/>
        <v/>
      </c>
      <c r="S30" s="4" t="str">
        <f t="shared" si="5"/>
        <v/>
      </c>
      <c r="T30" s="4"/>
      <c r="U30" s="4" t="str">
        <f t="shared" si="6"/>
        <v/>
      </c>
      <c r="V30" s="4"/>
      <c r="W30" s="4"/>
    </row>
    <row r="31" spans="1:23" ht="42" customHeight="1">
      <c r="A31" s="4"/>
      <c r="B31" s="4"/>
      <c r="C31" s="4"/>
      <c r="D31" s="12"/>
      <c r="E31" s="4"/>
      <c r="F31" s="4"/>
      <c r="G31" s="13"/>
      <c r="H31" s="13"/>
      <c r="I31" s="13"/>
      <c r="J31" s="4"/>
      <c r="K31" s="4" t="str">
        <f t="shared" si="0"/>
        <v/>
      </c>
      <c r="L31" s="4"/>
      <c r="M31" s="4" t="str">
        <f t="shared" si="1"/>
        <v/>
      </c>
      <c r="N31" s="12"/>
      <c r="O31" s="12"/>
      <c r="P31" s="12" t="str">
        <f t="shared" si="2"/>
        <v/>
      </c>
      <c r="Q31" s="4" t="str">
        <f t="shared" si="3"/>
        <v/>
      </c>
      <c r="R31" s="4" t="str">
        <f t="shared" si="4"/>
        <v/>
      </c>
      <c r="S31" s="4" t="str">
        <f t="shared" si="5"/>
        <v/>
      </c>
      <c r="T31" s="4"/>
      <c r="U31" s="4" t="str">
        <f t="shared" si="6"/>
        <v/>
      </c>
      <c r="V31" s="4"/>
      <c r="W31" s="4"/>
    </row>
    <row r="32" spans="1:23" ht="42" customHeight="1">
      <c r="A32" s="4"/>
      <c r="B32" s="4"/>
      <c r="C32" s="4"/>
      <c r="D32" s="12"/>
      <c r="E32" s="4"/>
      <c r="F32" s="4"/>
      <c r="G32" s="13"/>
      <c r="H32" s="13"/>
      <c r="I32" s="13"/>
      <c r="J32" s="4"/>
      <c r="K32" s="4" t="str">
        <f t="shared" si="0"/>
        <v/>
      </c>
      <c r="L32" s="4"/>
      <c r="M32" s="4" t="str">
        <f t="shared" si="1"/>
        <v/>
      </c>
      <c r="N32" s="12"/>
      <c r="O32" s="12"/>
      <c r="P32" s="12" t="str">
        <f t="shared" si="2"/>
        <v/>
      </c>
      <c r="Q32" s="4" t="str">
        <f t="shared" si="3"/>
        <v/>
      </c>
      <c r="R32" s="4" t="str">
        <f t="shared" si="4"/>
        <v/>
      </c>
      <c r="S32" s="4" t="str">
        <f t="shared" si="5"/>
        <v/>
      </c>
      <c r="T32" s="4"/>
      <c r="U32" s="4" t="str">
        <f t="shared" si="6"/>
        <v/>
      </c>
      <c r="V32" s="4"/>
      <c r="W32" s="4"/>
    </row>
    <row r="33" spans="1:23" ht="42" customHeight="1">
      <c r="A33" s="4"/>
      <c r="B33" s="4"/>
      <c r="C33" s="4"/>
      <c r="D33" s="12"/>
      <c r="E33" s="4"/>
      <c r="F33" s="4"/>
      <c r="G33" s="13"/>
      <c r="H33" s="13"/>
      <c r="I33" s="13"/>
      <c r="J33" s="4"/>
      <c r="K33" s="4" t="str">
        <f t="shared" si="0"/>
        <v/>
      </c>
      <c r="L33" s="4"/>
      <c r="M33" s="4" t="str">
        <f t="shared" si="1"/>
        <v/>
      </c>
      <c r="N33" s="12"/>
      <c r="O33" s="12"/>
      <c r="P33" s="12" t="str">
        <f t="shared" si="2"/>
        <v/>
      </c>
      <c r="Q33" s="4" t="str">
        <f t="shared" si="3"/>
        <v/>
      </c>
      <c r="R33" s="4" t="str">
        <f t="shared" si="4"/>
        <v/>
      </c>
      <c r="S33" s="4" t="str">
        <f t="shared" si="5"/>
        <v/>
      </c>
      <c r="T33" s="4"/>
      <c r="U33" s="4" t="str">
        <f t="shared" si="6"/>
        <v/>
      </c>
      <c r="V33" s="4"/>
      <c r="W33" s="4"/>
    </row>
    <row r="34" spans="1:23" ht="42" customHeight="1">
      <c r="A34" s="4"/>
      <c r="B34" s="4"/>
      <c r="C34" s="4"/>
      <c r="D34" s="12"/>
      <c r="E34" s="4"/>
      <c r="F34" s="4"/>
      <c r="G34" s="13"/>
      <c r="H34" s="13"/>
      <c r="I34" s="13"/>
      <c r="J34" s="4"/>
      <c r="K34" s="4" t="str">
        <f t="shared" si="0"/>
        <v/>
      </c>
      <c r="L34" s="4"/>
      <c r="M34" s="4" t="str">
        <f t="shared" si="1"/>
        <v/>
      </c>
      <c r="N34" s="12"/>
      <c r="O34" s="12"/>
      <c r="P34" s="12" t="str">
        <f t="shared" si="2"/>
        <v/>
      </c>
      <c r="Q34" s="4" t="str">
        <f t="shared" si="3"/>
        <v/>
      </c>
      <c r="R34" s="4" t="str">
        <f t="shared" si="4"/>
        <v/>
      </c>
      <c r="S34" s="4" t="str">
        <f t="shared" si="5"/>
        <v/>
      </c>
      <c r="T34" s="4"/>
      <c r="U34" s="4" t="str">
        <f t="shared" si="6"/>
        <v/>
      </c>
      <c r="V34" s="4"/>
      <c r="W34" s="4"/>
    </row>
    <row r="35" spans="1:23" ht="42" customHeight="1">
      <c r="A35" s="4"/>
      <c r="B35" s="4"/>
      <c r="C35" s="4"/>
      <c r="D35" s="12"/>
      <c r="E35" s="4"/>
      <c r="F35" s="4"/>
      <c r="G35" s="13"/>
      <c r="H35" s="13"/>
      <c r="I35" s="13"/>
      <c r="J35" s="4"/>
      <c r="K35" s="4" t="str">
        <f t="shared" si="0"/>
        <v/>
      </c>
      <c r="L35" s="4"/>
      <c r="M35" s="4" t="str">
        <f t="shared" si="1"/>
        <v/>
      </c>
      <c r="N35" s="12"/>
      <c r="O35" s="12"/>
      <c r="P35" s="12" t="str">
        <f t="shared" si="2"/>
        <v/>
      </c>
      <c r="Q35" s="4" t="str">
        <f t="shared" si="3"/>
        <v/>
      </c>
      <c r="R35" s="4" t="str">
        <f t="shared" si="4"/>
        <v/>
      </c>
      <c r="S35" s="4" t="str">
        <f t="shared" si="5"/>
        <v/>
      </c>
      <c r="T35" s="4"/>
      <c r="U35" s="4" t="str">
        <f t="shared" si="6"/>
        <v/>
      </c>
      <c r="V35" s="4"/>
      <c r="W35" s="4"/>
    </row>
    <row r="36" spans="1:23" ht="42" customHeight="1">
      <c r="A36" s="4"/>
      <c r="B36" s="4"/>
      <c r="C36" s="4"/>
      <c r="D36" s="12"/>
      <c r="E36" s="4"/>
      <c r="F36" s="4"/>
      <c r="G36" s="13"/>
      <c r="H36" s="13"/>
      <c r="I36" s="13"/>
      <c r="J36" s="4"/>
      <c r="K36" s="4" t="str">
        <f t="shared" si="0"/>
        <v/>
      </c>
      <c r="L36" s="4"/>
      <c r="M36" s="4" t="str">
        <f t="shared" si="1"/>
        <v/>
      </c>
      <c r="N36" s="12"/>
      <c r="O36" s="12"/>
      <c r="P36" s="12" t="str">
        <f t="shared" si="2"/>
        <v/>
      </c>
      <c r="Q36" s="4" t="str">
        <f t="shared" si="3"/>
        <v/>
      </c>
      <c r="R36" s="4" t="str">
        <f t="shared" si="4"/>
        <v/>
      </c>
      <c r="S36" s="4" t="str">
        <f t="shared" si="5"/>
        <v/>
      </c>
      <c r="T36" s="4"/>
      <c r="U36" s="4" t="str">
        <f t="shared" si="6"/>
        <v/>
      </c>
      <c r="V36" s="4"/>
      <c r="W36" s="4"/>
    </row>
    <row r="37" spans="1:23" ht="42" customHeight="1">
      <c r="A37" s="4"/>
      <c r="B37" s="4"/>
      <c r="C37" s="4"/>
      <c r="D37" s="12"/>
      <c r="E37" s="4"/>
      <c r="F37" s="4"/>
      <c r="G37" s="13"/>
      <c r="H37" s="13"/>
      <c r="I37" s="13"/>
      <c r="J37" s="4"/>
      <c r="K37" s="4" t="str">
        <f t="shared" si="0"/>
        <v/>
      </c>
      <c r="L37" s="4"/>
      <c r="M37" s="4" t="str">
        <f t="shared" si="1"/>
        <v/>
      </c>
      <c r="N37" s="12"/>
      <c r="O37" s="12"/>
      <c r="P37" s="12" t="str">
        <f t="shared" si="2"/>
        <v/>
      </c>
      <c r="Q37" s="4" t="str">
        <f t="shared" si="3"/>
        <v/>
      </c>
      <c r="R37" s="4" t="str">
        <f t="shared" si="4"/>
        <v/>
      </c>
      <c r="S37" s="4" t="str">
        <f t="shared" si="5"/>
        <v/>
      </c>
      <c r="T37" s="4"/>
      <c r="U37" s="4" t="str">
        <f t="shared" si="6"/>
        <v/>
      </c>
      <c r="V37" s="4"/>
      <c r="W37" s="4"/>
    </row>
    <row r="38" spans="1:23" ht="42" customHeight="1">
      <c r="A38" s="4"/>
      <c r="B38" s="4"/>
      <c r="C38" s="4"/>
      <c r="D38" s="12"/>
      <c r="E38" s="4"/>
      <c r="F38" s="4"/>
      <c r="G38" s="13"/>
      <c r="H38" s="13"/>
      <c r="I38" s="13"/>
      <c r="J38" s="4"/>
      <c r="K38" s="4" t="str">
        <f t="shared" ref="K38:K55" si="7">IF($C38="","",IF(COUNTA($E38:$F38)=0,"Model A",IF(COUNTA($D38)=0,"Model B","Model C")))</f>
        <v/>
      </c>
      <c r="L38" s="4"/>
      <c r="M38" s="4" t="str">
        <f t="shared" ref="M38:M55" si="8">IF($L38="","",IF($K38=$L38,"Pass","Fail"))</f>
        <v/>
      </c>
      <c r="N38" s="12"/>
      <c r="O38" s="12"/>
      <c r="P38" s="12" t="str">
        <f t="shared" ref="P38:P55" si="9">IF(OR($N38="",$O38=""),"",ABS($N38-$O38))</f>
        <v/>
      </c>
      <c r="Q38" s="4" t="str">
        <f t="shared" ref="Q38:Q55" si="10">IF($N38="","",IF(AND($N38&gt;=0,$N38&lt;=4),"Pass","Fail"))</f>
        <v/>
      </c>
      <c r="R38" s="4" t="str">
        <f t="shared" ref="R38:R55" si="11">IF($P38="","",IF($P38&lt;=0.01,"Pass","Fail"))</f>
        <v/>
      </c>
      <c r="S38" s="4" t="str">
        <f t="shared" ref="S38:S55" si="12">IF($G38="","",IF($G38&lt;80,"Yes","No"))</f>
        <v/>
      </c>
      <c r="T38" s="4"/>
      <c r="U38" s="4" t="str">
        <f t="shared" ref="U38:U55" si="13">IF($T38="","",IF($S38=$T38,"Pass","Fail"))</f>
        <v/>
      </c>
      <c r="V38" s="4"/>
      <c r="W38" s="4"/>
    </row>
    <row r="39" spans="1:23" ht="42" customHeight="1">
      <c r="A39" s="4"/>
      <c r="B39" s="4"/>
      <c r="C39" s="4"/>
      <c r="D39" s="12"/>
      <c r="E39" s="4"/>
      <c r="F39" s="4"/>
      <c r="G39" s="13"/>
      <c r="H39" s="13"/>
      <c r="I39" s="13"/>
      <c r="J39" s="4"/>
      <c r="K39" s="4" t="str">
        <f t="shared" si="7"/>
        <v/>
      </c>
      <c r="L39" s="4"/>
      <c r="M39" s="4" t="str">
        <f t="shared" si="8"/>
        <v/>
      </c>
      <c r="N39" s="12"/>
      <c r="O39" s="12"/>
      <c r="P39" s="12" t="str">
        <f t="shared" si="9"/>
        <v/>
      </c>
      <c r="Q39" s="4" t="str">
        <f t="shared" si="10"/>
        <v/>
      </c>
      <c r="R39" s="4" t="str">
        <f t="shared" si="11"/>
        <v/>
      </c>
      <c r="S39" s="4" t="str">
        <f t="shared" si="12"/>
        <v/>
      </c>
      <c r="T39" s="4"/>
      <c r="U39" s="4" t="str">
        <f t="shared" si="13"/>
        <v/>
      </c>
      <c r="V39" s="4"/>
      <c r="W39" s="4"/>
    </row>
    <row r="40" spans="1:23" ht="42" customHeight="1">
      <c r="A40" s="4"/>
      <c r="B40" s="4"/>
      <c r="C40" s="4"/>
      <c r="D40" s="12"/>
      <c r="E40" s="4"/>
      <c r="F40" s="4"/>
      <c r="G40" s="13"/>
      <c r="H40" s="13"/>
      <c r="I40" s="13"/>
      <c r="J40" s="4"/>
      <c r="K40" s="4" t="str">
        <f t="shared" si="7"/>
        <v/>
      </c>
      <c r="L40" s="4"/>
      <c r="M40" s="4" t="str">
        <f t="shared" si="8"/>
        <v/>
      </c>
      <c r="N40" s="12"/>
      <c r="O40" s="12"/>
      <c r="P40" s="12" t="str">
        <f t="shared" si="9"/>
        <v/>
      </c>
      <c r="Q40" s="4" t="str">
        <f t="shared" si="10"/>
        <v/>
      </c>
      <c r="R40" s="4" t="str">
        <f t="shared" si="11"/>
        <v/>
      </c>
      <c r="S40" s="4" t="str">
        <f t="shared" si="12"/>
        <v/>
      </c>
      <c r="T40" s="4"/>
      <c r="U40" s="4" t="str">
        <f t="shared" si="13"/>
        <v/>
      </c>
      <c r="V40" s="4"/>
      <c r="W40" s="4"/>
    </row>
    <row r="41" spans="1:23" ht="42" customHeight="1">
      <c r="A41" s="4"/>
      <c r="B41" s="4"/>
      <c r="C41" s="4"/>
      <c r="D41" s="12"/>
      <c r="E41" s="4"/>
      <c r="F41" s="4"/>
      <c r="G41" s="13"/>
      <c r="H41" s="13"/>
      <c r="I41" s="13"/>
      <c r="J41" s="4"/>
      <c r="K41" s="4" t="str">
        <f t="shared" si="7"/>
        <v/>
      </c>
      <c r="L41" s="4"/>
      <c r="M41" s="4" t="str">
        <f t="shared" si="8"/>
        <v/>
      </c>
      <c r="N41" s="12"/>
      <c r="O41" s="12"/>
      <c r="P41" s="12" t="str">
        <f t="shared" si="9"/>
        <v/>
      </c>
      <c r="Q41" s="4" t="str">
        <f t="shared" si="10"/>
        <v/>
      </c>
      <c r="R41" s="4" t="str">
        <f t="shared" si="11"/>
        <v/>
      </c>
      <c r="S41" s="4" t="str">
        <f t="shared" si="12"/>
        <v/>
      </c>
      <c r="T41" s="4"/>
      <c r="U41" s="4" t="str">
        <f t="shared" si="13"/>
        <v/>
      </c>
      <c r="V41" s="4"/>
      <c r="W41" s="4"/>
    </row>
    <row r="42" spans="1:23" ht="42" customHeight="1">
      <c r="A42" s="4"/>
      <c r="B42" s="4"/>
      <c r="C42" s="4"/>
      <c r="D42" s="12"/>
      <c r="E42" s="4"/>
      <c r="F42" s="4"/>
      <c r="G42" s="13"/>
      <c r="H42" s="13"/>
      <c r="I42" s="13"/>
      <c r="J42" s="4"/>
      <c r="K42" s="4" t="str">
        <f t="shared" si="7"/>
        <v/>
      </c>
      <c r="L42" s="4"/>
      <c r="M42" s="4" t="str">
        <f t="shared" si="8"/>
        <v/>
      </c>
      <c r="N42" s="12"/>
      <c r="O42" s="12"/>
      <c r="P42" s="12" t="str">
        <f t="shared" si="9"/>
        <v/>
      </c>
      <c r="Q42" s="4" t="str">
        <f t="shared" si="10"/>
        <v/>
      </c>
      <c r="R42" s="4" t="str">
        <f t="shared" si="11"/>
        <v/>
      </c>
      <c r="S42" s="4" t="str">
        <f t="shared" si="12"/>
        <v/>
      </c>
      <c r="T42" s="4"/>
      <c r="U42" s="4" t="str">
        <f t="shared" si="13"/>
        <v/>
      </c>
      <c r="V42" s="4"/>
      <c r="W42" s="4"/>
    </row>
    <row r="43" spans="1:23" ht="42" customHeight="1">
      <c r="A43" s="4"/>
      <c r="B43" s="4"/>
      <c r="C43" s="4"/>
      <c r="D43" s="12"/>
      <c r="E43" s="4"/>
      <c r="F43" s="4"/>
      <c r="G43" s="13"/>
      <c r="H43" s="13"/>
      <c r="I43" s="13"/>
      <c r="J43" s="4"/>
      <c r="K43" s="4" t="str">
        <f t="shared" si="7"/>
        <v/>
      </c>
      <c r="L43" s="4"/>
      <c r="M43" s="4" t="str">
        <f t="shared" si="8"/>
        <v/>
      </c>
      <c r="N43" s="12"/>
      <c r="O43" s="12"/>
      <c r="P43" s="12" t="str">
        <f t="shared" si="9"/>
        <v/>
      </c>
      <c r="Q43" s="4" t="str">
        <f t="shared" si="10"/>
        <v/>
      </c>
      <c r="R43" s="4" t="str">
        <f t="shared" si="11"/>
        <v/>
      </c>
      <c r="S43" s="4" t="str">
        <f t="shared" si="12"/>
        <v/>
      </c>
      <c r="T43" s="4"/>
      <c r="U43" s="4" t="str">
        <f t="shared" si="13"/>
        <v/>
      </c>
      <c r="V43" s="4"/>
      <c r="W43" s="4"/>
    </row>
    <row r="44" spans="1:23" ht="42" customHeight="1">
      <c r="A44" s="4"/>
      <c r="B44" s="4"/>
      <c r="C44" s="4"/>
      <c r="D44" s="12"/>
      <c r="E44" s="4"/>
      <c r="F44" s="4"/>
      <c r="G44" s="13"/>
      <c r="H44" s="13"/>
      <c r="I44" s="13"/>
      <c r="J44" s="4"/>
      <c r="K44" s="4" t="str">
        <f t="shared" si="7"/>
        <v/>
      </c>
      <c r="L44" s="4"/>
      <c r="M44" s="4" t="str">
        <f t="shared" si="8"/>
        <v/>
      </c>
      <c r="N44" s="12"/>
      <c r="O44" s="12"/>
      <c r="P44" s="12" t="str">
        <f t="shared" si="9"/>
        <v/>
      </c>
      <c r="Q44" s="4" t="str">
        <f t="shared" si="10"/>
        <v/>
      </c>
      <c r="R44" s="4" t="str">
        <f t="shared" si="11"/>
        <v/>
      </c>
      <c r="S44" s="4" t="str">
        <f t="shared" si="12"/>
        <v/>
      </c>
      <c r="T44" s="4"/>
      <c r="U44" s="4" t="str">
        <f t="shared" si="13"/>
        <v/>
      </c>
      <c r="V44" s="4"/>
      <c r="W44" s="4"/>
    </row>
    <row r="45" spans="1:23" ht="42" customHeight="1">
      <c r="A45" s="4"/>
      <c r="B45" s="4"/>
      <c r="C45" s="4"/>
      <c r="D45" s="12"/>
      <c r="E45" s="4"/>
      <c r="F45" s="4"/>
      <c r="G45" s="13"/>
      <c r="H45" s="13"/>
      <c r="I45" s="13"/>
      <c r="J45" s="4"/>
      <c r="K45" s="4" t="str">
        <f t="shared" si="7"/>
        <v/>
      </c>
      <c r="L45" s="4"/>
      <c r="M45" s="4" t="str">
        <f t="shared" si="8"/>
        <v/>
      </c>
      <c r="N45" s="12"/>
      <c r="O45" s="12"/>
      <c r="P45" s="12" t="str">
        <f t="shared" si="9"/>
        <v/>
      </c>
      <c r="Q45" s="4" t="str">
        <f t="shared" si="10"/>
        <v/>
      </c>
      <c r="R45" s="4" t="str">
        <f t="shared" si="11"/>
        <v/>
      </c>
      <c r="S45" s="4" t="str">
        <f t="shared" si="12"/>
        <v/>
      </c>
      <c r="T45" s="4"/>
      <c r="U45" s="4" t="str">
        <f t="shared" si="13"/>
        <v/>
      </c>
      <c r="V45" s="4"/>
      <c r="W45" s="4"/>
    </row>
    <row r="46" spans="1:23" ht="42" customHeight="1">
      <c r="A46" s="4"/>
      <c r="B46" s="4"/>
      <c r="C46" s="4"/>
      <c r="D46" s="12"/>
      <c r="E46" s="4"/>
      <c r="F46" s="4"/>
      <c r="G46" s="13"/>
      <c r="H46" s="13"/>
      <c r="I46" s="13"/>
      <c r="J46" s="4"/>
      <c r="K46" s="4" t="str">
        <f t="shared" si="7"/>
        <v/>
      </c>
      <c r="L46" s="4"/>
      <c r="M46" s="4" t="str">
        <f t="shared" si="8"/>
        <v/>
      </c>
      <c r="N46" s="12"/>
      <c r="O46" s="12"/>
      <c r="P46" s="12" t="str">
        <f t="shared" si="9"/>
        <v/>
      </c>
      <c r="Q46" s="4" t="str">
        <f t="shared" si="10"/>
        <v/>
      </c>
      <c r="R46" s="4" t="str">
        <f t="shared" si="11"/>
        <v/>
      </c>
      <c r="S46" s="4" t="str">
        <f t="shared" si="12"/>
        <v/>
      </c>
      <c r="T46" s="4"/>
      <c r="U46" s="4" t="str">
        <f t="shared" si="13"/>
        <v/>
      </c>
      <c r="V46" s="4"/>
      <c r="W46" s="4"/>
    </row>
    <row r="47" spans="1:23" ht="42" customHeight="1">
      <c r="A47" s="4"/>
      <c r="B47" s="4"/>
      <c r="C47" s="4"/>
      <c r="D47" s="12"/>
      <c r="E47" s="4"/>
      <c r="F47" s="4"/>
      <c r="G47" s="13"/>
      <c r="H47" s="13"/>
      <c r="I47" s="13"/>
      <c r="J47" s="4"/>
      <c r="K47" s="4" t="str">
        <f t="shared" si="7"/>
        <v/>
      </c>
      <c r="L47" s="4"/>
      <c r="M47" s="4" t="str">
        <f t="shared" si="8"/>
        <v/>
      </c>
      <c r="N47" s="12"/>
      <c r="O47" s="12"/>
      <c r="P47" s="12" t="str">
        <f t="shared" si="9"/>
        <v/>
      </c>
      <c r="Q47" s="4" t="str">
        <f t="shared" si="10"/>
        <v/>
      </c>
      <c r="R47" s="4" t="str">
        <f t="shared" si="11"/>
        <v/>
      </c>
      <c r="S47" s="4" t="str">
        <f t="shared" si="12"/>
        <v/>
      </c>
      <c r="T47" s="4"/>
      <c r="U47" s="4" t="str">
        <f t="shared" si="13"/>
        <v/>
      </c>
      <c r="V47" s="4"/>
      <c r="W47" s="4"/>
    </row>
    <row r="48" spans="1:23" ht="42" customHeight="1">
      <c r="A48" s="4"/>
      <c r="B48" s="4"/>
      <c r="C48" s="4"/>
      <c r="D48" s="12"/>
      <c r="E48" s="4"/>
      <c r="F48" s="4"/>
      <c r="G48" s="13"/>
      <c r="H48" s="13"/>
      <c r="I48" s="13"/>
      <c r="J48" s="4"/>
      <c r="K48" s="4" t="str">
        <f t="shared" si="7"/>
        <v/>
      </c>
      <c r="L48" s="4"/>
      <c r="M48" s="4" t="str">
        <f t="shared" si="8"/>
        <v/>
      </c>
      <c r="N48" s="12"/>
      <c r="O48" s="12"/>
      <c r="P48" s="12" t="str">
        <f t="shared" si="9"/>
        <v/>
      </c>
      <c r="Q48" s="4" t="str">
        <f t="shared" si="10"/>
        <v/>
      </c>
      <c r="R48" s="4" t="str">
        <f t="shared" si="11"/>
        <v/>
      </c>
      <c r="S48" s="4" t="str">
        <f t="shared" si="12"/>
        <v/>
      </c>
      <c r="T48" s="4"/>
      <c r="U48" s="4" t="str">
        <f t="shared" si="13"/>
        <v/>
      </c>
      <c r="V48" s="4"/>
      <c r="W48" s="4"/>
    </row>
    <row r="49" spans="1:23" ht="42" customHeight="1">
      <c r="A49" s="4"/>
      <c r="B49" s="4"/>
      <c r="C49" s="4"/>
      <c r="D49" s="12"/>
      <c r="E49" s="4"/>
      <c r="F49" s="4"/>
      <c r="G49" s="13"/>
      <c r="H49" s="13"/>
      <c r="I49" s="13"/>
      <c r="J49" s="4"/>
      <c r="K49" s="4" t="str">
        <f t="shared" si="7"/>
        <v/>
      </c>
      <c r="L49" s="4"/>
      <c r="M49" s="4" t="str">
        <f t="shared" si="8"/>
        <v/>
      </c>
      <c r="N49" s="12"/>
      <c r="O49" s="12"/>
      <c r="P49" s="12" t="str">
        <f t="shared" si="9"/>
        <v/>
      </c>
      <c r="Q49" s="4" t="str">
        <f t="shared" si="10"/>
        <v/>
      </c>
      <c r="R49" s="4" t="str">
        <f t="shared" si="11"/>
        <v/>
      </c>
      <c r="S49" s="4" t="str">
        <f t="shared" si="12"/>
        <v/>
      </c>
      <c r="T49" s="4"/>
      <c r="U49" s="4" t="str">
        <f t="shared" si="13"/>
        <v/>
      </c>
      <c r="V49" s="4"/>
      <c r="W49" s="4"/>
    </row>
    <row r="50" spans="1:23" ht="42" customHeight="1">
      <c r="A50" s="4"/>
      <c r="B50" s="4"/>
      <c r="C50" s="4"/>
      <c r="D50" s="12"/>
      <c r="E50" s="4"/>
      <c r="F50" s="4"/>
      <c r="G50" s="13"/>
      <c r="H50" s="13"/>
      <c r="I50" s="13"/>
      <c r="J50" s="4"/>
      <c r="K50" s="4" t="str">
        <f t="shared" si="7"/>
        <v/>
      </c>
      <c r="L50" s="4"/>
      <c r="M50" s="4" t="str">
        <f t="shared" si="8"/>
        <v/>
      </c>
      <c r="N50" s="12"/>
      <c r="O50" s="12"/>
      <c r="P50" s="12" t="str">
        <f t="shared" si="9"/>
        <v/>
      </c>
      <c r="Q50" s="4" t="str">
        <f t="shared" si="10"/>
        <v/>
      </c>
      <c r="R50" s="4" t="str">
        <f t="shared" si="11"/>
        <v/>
      </c>
      <c r="S50" s="4" t="str">
        <f t="shared" si="12"/>
        <v/>
      </c>
      <c r="T50" s="4"/>
      <c r="U50" s="4" t="str">
        <f t="shared" si="13"/>
        <v/>
      </c>
      <c r="V50" s="4"/>
      <c r="W50" s="4"/>
    </row>
    <row r="51" spans="1:23" ht="42" customHeight="1">
      <c r="A51" s="4"/>
      <c r="B51" s="4"/>
      <c r="C51" s="4"/>
      <c r="D51" s="12"/>
      <c r="E51" s="4"/>
      <c r="F51" s="4"/>
      <c r="G51" s="13"/>
      <c r="H51" s="13"/>
      <c r="I51" s="13"/>
      <c r="J51" s="4"/>
      <c r="K51" s="4" t="str">
        <f t="shared" si="7"/>
        <v/>
      </c>
      <c r="L51" s="4"/>
      <c r="M51" s="4" t="str">
        <f t="shared" si="8"/>
        <v/>
      </c>
      <c r="N51" s="12"/>
      <c r="O51" s="12"/>
      <c r="P51" s="12" t="str">
        <f t="shared" si="9"/>
        <v/>
      </c>
      <c r="Q51" s="4" t="str">
        <f t="shared" si="10"/>
        <v/>
      </c>
      <c r="R51" s="4" t="str">
        <f t="shared" si="11"/>
        <v/>
      </c>
      <c r="S51" s="4" t="str">
        <f t="shared" si="12"/>
        <v/>
      </c>
      <c r="T51" s="4"/>
      <c r="U51" s="4" t="str">
        <f t="shared" si="13"/>
        <v/>
      </c>
      <c r="V51" s="4"/>
      <c r="W51" s="4"/>
    </row>
    <row r="52" spans="1:23" ht="42" customHeight="1">
      <c r="A52" s="4"/>
      <c r="B52" s="4"/>
      <c r="C52" s="4"/>
      <c r="D52" s="12"/>
      <c r="E52" s="4"/>
      <c r="F52" s="4"/>
      <c r="G52" s="13"/>
      <c r="H52" s="13"/>
      <c r="I52" s="13"/>
      <c r="J52" s="4"/>
      <c r="K52" s="4" t="str">
        <f t="shared" si="7"/>
        <v/>
      </c>
      <c r="L52" s="4"/>
      <c r="M52" s="4" t="str">
        <f t="shared" si="8"/>
        <v/>
      </c>
      <c r="N52" s="12"/>
      <c r="O52" s="12"/>
      <c r="P52" s="12" t="str">
        <f t="shared" si="9"/>
        <v/>
      </c>
      <c r="Q52" s="4" t="str">
        <f t="shared" si="10"/>
        <v/>
      </c>
      <c r="R52" s="4" t="str">
        <f t="shared" si="11"/>
        <v/>
      </c>
      <c r="S52" s="4" t="str">
        <f t="shared" si="12"/>
        <v/>
      </c>
      <c r="T52" s="4"/>
      <c r="U52" s="4" t="str">
        <f t="shared" si="13"/>
        <v/>
      </c>
      <c r="V52" s="4"/>
      <c r="W52" s="4"/>
    </row>
    <row r="53" spans="1:23" ht="42" customHeight="1">
      <c r="A53" s="4"/>
      <c r="B53" s="4"/>
      <c r="C53" s="4"/>
      <c r="D53" s="12"/>
      <c r="E53" s="4"/>
      <c r="F53" s="4"/>
      <c r="G53" s="13"/>
      <c r="H53" s="13"/>
      <c r="I53" s="13"/>
      <c r="J53" s="4"/>
      <c r="K53" s="4" t="str">
        <f t="shared" si="7"/>
        <v/>
      </c>
      <c r="L53" s="4"/>
      <c r="M53" s="4" t="str">
        <f t="shared" si="8"/>
        <v/>
      </c>
      <c r="N53" s="12"/>
      <c r="O53" s="12"/>
      <c r="P53" s="12" t="str">
        <f t="shared" si="9"/>
        <v/>
      </c>
      <c r="Q53" s="4" t="str">
        <f t="shared" si="10"/>
        <v/>
      </c>
      <c r="R53" s="4" t="str">
        <f t="shared" si="11"/>
        <v/>
      </c>
      <c r="S53" s="4" t="str">
        <f t="shared" si="12"/>
        <v/>
      </c>
      <c r="T53" s="4"/>
      <c r="U53" s="4" t="str">
        <f t="shared" si="13"/>
        <v/>
      </c>
      <c r="V53" s="4"/>
      <c r="W53" s="4"/>
    </row>
    <row r="54" spans="1:23" ht="42" customHeight="1">
      <c r="A54" s="4"/>
      <c r="B54" s="4"/>
      <c r="C54" s="4"/>
      <c r="D54" s="12"/>
      <c r="E54" s="4"/>
      <c r="F54" s="4"/>
      <c r="G54" s="13"/>
      <c r="H54" s="13"/>
      <c r="I54" s="13"/>
      <c r="J54" s="4"/>
      <c r="K54" s="4" t="str">
        <f t="shared" si="7"/>
        <v/>
      </c>
      <c r="L54" s="4"/>
      <c r="M54" s="4" t="str">
        <f t="shared" si="8"/>
        <v/>
      </c>
      <c r="N54" s="12"/>
      <c r="O54" s="12"/>
      <c r="P54" s="12" t="str">
        <f t="shared" si="9"/>
        <v/>
      </c>
      <c r="Q54" s="4" t="str">
        <f t="shared" si="10"/>
        <v/>
      </c>
      <c r="R54" s="4" t="str">
        <f t="shared" si="11"/>
        <v/>
      </c>
      <c r="S54" s="4" t="str">
        <f t="shared" si="12"/>
        <v/>
      </c>
      <c r="T54" s="4"/>
      <c r="U54" s="4" t="str">
        <f t="shared" si="13"/>
        <v/>
      </c>
      <c r="V54" s="4"/>
      <c r="W54" s="4"/>
    </row>
    <row r="55" spans="1:23" ht="42" customHeight="1">
      <c r="A55" s="4"/>
      <c r="B55" s="4"/>
      <c r="C55" s="4"/>
      <c r="D55" s="12"/>
      <c r="E55" s="4"/>
      <c r="F55" s="4"/>
      <c r="G55" s="13"/>
      <c r="H55" s="13"/>
      <c r="I55" s="13"/>
      <c r="J55" s="4"/>
      <c r="K55" s="4" t="str">
        <f t="shared" si="7"/>
        <v/>
      </c>
      <c r="L55" s="4"/>
      <c r="M55" s="4" t="str">
        <f t="shared" si="8"/>
        <v/>
      </c>
      <c r="N55" s="12"/>
      <c r="O55" s="12"/>
      <c r="P55" s="12" t="str">
        <f t="shared" si="9"/>
        <v/>
      </c>
      <c r="Q55" s="4" t="str">
        <f t="shared" si="10"/>
        <v/>
      </c>
      <c r="R55" s="4" t="str">
        <f t="shared" si="11"/>
        <v/>
      </c>
      <c r="S55" s="4" t="str">
        <f t="shared" si="12"/>
        <v/>
      </c>
      <c r="T55" s="4"/>
      <c r="U55" s="4" t="str">
        <f t="shared" si="13"/>
        <v/>
      </c>
      <c r="V55" s="4"/>
      <c r="W55" s="4"/>
    </row>
  </sheetData>
  <mergeCells count="3">
    <mergeCell ref="A1:W1"/>
    <mergeCell ref="A2:W2"/>
    <mergeCell ref="A4:W4"/>
  </mergeCells>
  <conditionalFormatting sqref="M6:M55">
    <cfRule type="containsText" dxfId="25" priority="1" operator="containsText" text="Pass"/>
    <cfRule type="containsText" dxfId="24" priority="2" operator="containsText" text="Fail"/>
    <cfRule type="containsText" dxfId="23" priority="3" operator="containsText" text="Blocked"/>
    <cfRule type="containsText" dxfId="22" priority="4" operator="containsText" text="Not Applicable"/>
  </conditionalFormatting>
  <conditionalFormatting sqref="Q6:Q55">
    <cfRule type="containsText" dxfId="21" priority="6" operator="containsText" text="Pass"/>
    <cfRule type="containsText" dxfId="20" priority="7" operator="containsText" text="Fail"/>
    <cfRule type="containsText" dxfId="19" priority="8" operator="containsText" text="Blocked"/>
    <cfRule type="containsText" dxfId="18" priority="9" operator="containsText" text="Not Applicable"/>
  </conditionalFormatting>
  <conditionalFormatting sqref="R6:R55">
    <cfRule type="containsText" dxfId="17" priority="11" operator="containsText" text="Pass"/>
    <cfRule type="containsText" dxfId="16" priority="12" operator="containsText" text="Fail"/>
    <cfRule type="containsText" dxfId="15" priority="13" operator="containsText" text="Blocked"/>
    <cfRule type="containsText" dxfId="14" priority="14" operator="containsText" text="Not Applicable"/>
  </conditionalFormatting>
  <conditionalFormatting sqref="U6:U55">
    <cfRule type="containsText" dxfId="13" priority="16" operator="containsText" text="Pass"/>
    <cfRule type="containsText" dxfId="12" priority="17" operator="containsText" text="Fail"/>
    <cfRule type="containsText" dxfId="11" priority="18" operator="containsText" text="Blocked"/>
    <cfRule type="containsText" dxfId="10" priority="19" operator="containsText" text="Not Applicable"/>
  </conditionalFormatting>
  <dataValidations count="3">
    <dataValidation type="list" sqref="L6:L55" xr:uid="{00000000-0002-0000-0400-000000000000}">
      <formula1>"Model A,Model B,Model C"</formula1>
    </dataValidation>
    <dataValidation type="list" sqref="T6:T55" xr:uid="{00000000-0002-0000-0400-000001000000}">
      <formula1>"Yes,No"</formula1>
    </dataValidation>
    <dataValidation type="list" sqref="V6:V55" xr:uid="{00000000-0002-0000-04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5"/>
  <sheetViews>
    <sheetView showGridLines="0" workbookViewId="0">
      <selection sqref="A1:S1"/>
    </sheetView>
  </sheetViews>
  <sheetFormatPr defaultRowHeight="13.8"/>
  <cols>
    <col min="1" max="1" width="18" customWidth="1"/>
    <col min="2" max="2" width="15" customWidth="1"/>
    <col min="3" max="14" width="8" customWidth="1"/>
    <col min="15" max="15" width="18" customWidth="1"/>
    <col min="16" max="16" width="19" customWidth="1"/>
    <col min="17" max="17" width="30" customWidth="1"/>
    <col min="18" max="18" width="32" customWidth="1"/>
    <col min="19" max="19" width="38" customWidth="1"/>
  </cols>
  <sheetData>
    <row r="1" spans="1:19" ht="30" customHeight="1">
      <c r="A1" s="26" t="s">
        <v>717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30" customHeight="1">
      <c r="A2" s="27" t="s">
        <v>718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19" ht="30" customHeight="1">
      <c r="A4" s="40" t="s">
        <v>719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ht="34.049999999999997" customHeight="1">
      <c r="A5" s="2" t="s">
        <v>72</v>
      </c>
      <c r="B5" s="2" t="s">
        <v>720</v>
      </c>
      <c r="C5" s="2" t="s">
        <v>721</v>
      </c>
      <c r="D5" s="2" t="s">
        <v>722</v>
      </c>
      <c r="E5" s="2" t="s">
        <v>723</v>
      </c>
      <c r="F5" s="2" t="s">
        <v>724</v>
      </c>
      <c r="G5" s="2" t="s">
        <v>725</v>
      </c>
      <c r="H5" s="2" t="s">
        <v>726</v>
      </c>
      <c r="I5" s="2" t="s">
        <v>727</v>
      </c>
      <c r="J5" s="2" t="s">
        <v>728</v>
      </c>
      <c r="K5" s="2" t="s">
        <v>729</v>
      </c>
      <c r="L5" s="2" t="s">
        <v>730</v>
      </c>
      <c r="M5" s="2" t="s">
        <v>731</v>
      </c>
      <c r="N5" s="2" t="s">
        <v>732</v>
      </c>
      <c r="O5" s="2" t="s">
        <v>733</v>
      </c>
      <c r="P5" s="2" t="s">
        <v>734</v>
      </c>
      <c r="Q5" s="2" t="s">
        <v>735</v>
      </c>
      <c r="R5" s="2" t="s">
        <v>736</v>
      </c>
      <c r="S5" s="2" t="s">
        <v>737</v>
      </c>
    </row>
    <row r="6" spans="1:19" ht="42" customHeight="1">
      <c r="A6" s="3"/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1" t="str">
        <f t="shared" ref="O6:O37" si="0">IF($A6="","",IFERROR(AVERAGE($C6:$N6),""))</f>
        <v/>
      </c>
      <c r="P6" s="3"/>
      <c r="Q6" s="3"/>
      <c r="R6" s="3"/>
      <c r="S6" s="3"/>
    </row>
    <row r="7" spans="1:19" ht="42" customHeight="1">
      <c r="A7" s="4"/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2" t="str">
        <f t="shared" si="0"/>
        <v/>
      </c>
      <c r="P7" s="4"/>
      <c r="Q7" s="4"/>
      <c r="R7" s="4"/>
      <c r="S7" s="4"/>
    </row>
    <row r="8" spans="1:19" ht="42" customHeight="1">
      <c r="A8" s="4"/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2" t="str">
        <f t="shared" si="0"/>
        <v/>
      </c>
      <c r="P8" s="4"/>
      <c r="Q8" s="4"/>
      <c r="R8" s="4"/>
      <c r="S8" s="4"/>
    </row>
    <row r="9" spans="1:19" ht="42" customHeight="1">
      <c r="A9" s="4"/>
      <c r="B9" s="8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2" t="str">
        <f t="shared" si="0"/>
        <v/>
      </c>
      <c r="P9" s="4"/>
      <c r="Q9" s="4"/>
      <c r="R9" s="4"/>
      <c r="S9" s="4"/>
    </row>
    <row r="10" spans="1:19" ht="42" customHeight="1">
      <c r="A10" s="4"/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2" t="str">
        <f t="shared" si="0"/>
        <v/>
      </c>
      <c r="P10" s="4"/>
      <c r="Q10" s="4"/>
      <c r="R10" s="4"/>
      <c r="S10" s="4"/>
    </row>
    <row r="11" spans="1:19" ht="42" customHeight="1">
      <c r="A11" s="4"/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2" t="str">
        <f t="shared" si="0"/>
        <v/>
      </c>
      <c r="P11" s="4"/>
      <c r="Q11" s="4"/>
      <c r="R11" s="4"/>
      <c r="S11" s="4"/>
    </row>
    <row r="12" spans="1:19" ht="42" customHeight="1">
      <c r="A12" s="4"/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2" t="str">
        <f t="shared" si="0"/>
        <v/>
      </c>
      <c r="P12" s="4"/>
      <c r="Q12" s="4"/>
      <c r="R12" s="4"/>
      <c r="S12" s="4"/>
    </row>
    <row r="13" spans="1:19" ht="42" customHeight="1">
      <c r="A13" s="4"/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2" t="str">
        <f t="shared" si="0"/>
        <v/>
      </c>
      <c r="P13" s="4"/>
      <c r="Q13" s="4"/>
      <c r="R13" s="4"/>
      <c r="S13" s="4"/>
    </row>
    <row r="14" spans="1:19" ht="42" customHeight="1">
      <c r="A14" s="4"/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2" t="str">
        <f t="shared" si="0"/>
        <v/>
      </c>
      <c r="P14" s="4"/>
      <c r="Q14" s="4"/>
      <c r="R14" s="4"/>
      <c r="S14" s="4"/>
    </row>
    <row r="15" spans="1:19" ht="42" customHeight="1">
      <c r="A15" s="4"/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2" t="str">
        <f t="shared" si="0"/>
        <v/>
      </c>
      <c r="P15" s="4"/>
      <c r="Q15" s="4"/>
      <c r="R15" s="4"/>
      <c r="S15" s="4"/>
    </row>
    <row r="16" spans="1:19" ht="42" customHeight="1">
      <c r="A16" s="4"/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2" t="str">
        <f t="shared" si="0"/>
        <v/>
      </c>
      <c r="P16" s="4"/>
      <c r="Q16" s="4"/>
      <c r="R16" s="4"/>
      <c r="S16" s="4"/>
    </row>
    <row r="17" spans="1:19" ht="42" customHeight="1">
      <c r="A17" s="4"/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2" t="str">
        <f t="shared" si="0"/>
        <v/>
      </c>
      <c r="P17" s="4"/>
      <c r="Q17" s="4"/>
      <c r="R17" s="4"/>
      <c r="S17" s="4"/>
    </row>
    <row r="18" spans="1:19" ht="42" customHeight="1">
      <c r="A18" s="4"/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2" t="str">
        <f t="shared" si="0"/>
        <v/>
      </c>
      <c r="P18" s="4"/>
      <c r="Q18" s="4"/>
      <c r="R18" s="4"/>
      <c r="S18" s="4"/>
    </row>
    <row r="19" spans="1:19" ht="42" customHeight="1">
      <c r="A19" s="4"/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2" t="str">
        <f t="shared" si="0"/>
        <v/>
      </c>
      <c r="P19" s="4"/>
      <c r="Q19" s="4"/>
      <c r="R19" s="4"/>
      <c r="S19" s="4"/>
    </row>
    <row r="20" spans="1:19" ht="42" customHeight="1">
      <c r="A20" s="4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2" t="str">
        <f t="shared" si="0"/>
        <v/>
      </c>
      <c r="P20" s="4"/>
      <c r="Q20" s="4"/>
      <c r="R20" s="4"/>
      <c r="S20" s="4"/>
    </row>
    <row r="21" spans="1:19" ht="42" customHeight="1">
      <c r="A21" s="4"/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2" t="str">
        <f t="shared" si="0"/>
        <v/>
      </c>
      <c r="P21" s="4"/>
      <c r="Q21" s="4"/>
      <c r="R21" s="4"/>
      <c r="S21" s="4"/>
    </row>
    <row r="22" spans="1:19" ht="42" customHeight="1">
      <c r="A22" s="4"/>
      <c r="B22" s="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2" t="str">
        <f t="shared" si="0"/>
        <v/>
      </c>
      <c r="P22" s="4"/>
      <c r="Q22" s="4"/>
      <c r="R22" s="4"/>
      <c r="S22" s="4"/>
    </row>
    <row r="23" spans="1:19" ht="42" customHeight="1">
      <c r="A23" s="4"/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2" t="str">
        <f t="shared" si="0"/>
        <v/>
      </c>
      <c r="P23" s="4"/>
      <c r="Q23" s="4"/>
      <c r="R23" s="4"/>
      <c r="S23" s="4"/>
    </row>
    <row r="24" spans="1:19" ht="42" customHeight="1">
      <c r="A24" s="4"/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2" t="str">
        <f t="shared" si="0"/>
        <v/>
      </c>
      <c r="P24" s="4"/>
      <c r="Q24" s="4"/>
      <c r="R24" s="4"/>
      <c r="S24" s="4"/>
    </row>
    <row r="25" spans="1:19" ht="42" customHeight="1">
      <c r="A25" s="4"/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2" t="str">
        <f t="shared" si="0"/>
        <v/>
      </c>
      <c r="P25" s="4"/>
      <c r="Q25" s="4"/>
      <c r="R25" s="4"/>
      <c r="S25" s="4"/>
    </row>
    <row r="26" spans="1:19" ht="42" customHeight="1">
      <c r="A26" s="4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2" t="str">
        <f t="shared" si="0"/>
        <v/>
      </c>
      <c r="P26" s="4"/>
      <c r="Q26" s="4"/>
      <c r="R26" s="4"/>
      <c r="S26" s="4"/>
    </row>
    <row r="27" spans="1:19" ht="42" customHeight="1">
      <c r="A27" s="4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2" t="str">
        <f t="shared" si="0"/>
        <v/>
      </c>
      <c r="P27" s="4"/>
      <c r="Q27" s="4"/>
      <c r="R27" s="4"/>
      <c r="S27" s="4"/>
    </row>
    <row r="28" spans="1:19" ht="42" customHeight="1">
      <c r="A28" s="4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2" t="str">
        <f t="shared" si="0"/>
        <v/>
      </c>
      <c r="P28" s="4"/>
      <c r="Q28" s="4"/>
      <c r="R28" s="4"/>
      <c r="S28" s="4"/>
    </row>
    <row r="29" spans="1:19" ht="42" customHeight="1">
      <c r="A29" s="4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2" t="str">
        <f t="shared" si="0"/>
        <v/>
      </c>
      <c r="P29" s="4"/>
      <c r="Q29" s="4"/>
      <c r="R29" s="4"/>
      <c r="S29" s="4"/>
    </row>
    <row r="30" spans="1:19" ht="42" customHeight="1">
      <c r="A30" s="4"/>
      <c r="B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2" t="str">
        <f t="shared" si="0"/>
        <v/>
      </c>
      <c r="P30" s="4"/>
      <c r="Q30" s="4"/>
      <c r="R30" s="4"/>
      <c r="S30" s="4"/>
    </row>
    <row r="31" spans="1:19" ht="42" customHeight="1">
      <c r="A31" s="4"/>
      <c r="B31" s="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2" t="str">
        <f t="shared" si="0"/>
        <v/>
      </c>
      <c r="P31" s="4"/>
      <c r="Q31" s="4"/>
      <c r="R31" s="4"/>
      <c r="S31" s="4"/>
    </row>
    <row r="32" spans="1:19" ht="42" customHeight="1">
      <c r="A32" s="4"/>
      <c r="B32" s="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2" t="str">
        <f t="shared" si="0"/>
        <v/>
      </c>
      <c r="P32" s="4"/>
      <c r="Q32" s="4"/>
      <c r="R32" s="4"/>
      <c r="S32" s="4"/>
    </row>
    <row r="33" spans="1:19" ht="42" customHeight="1">
      <c r="A33" s="4"/>
      <c r="B33" s="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2" t="str">
        <f t="shared" si="0"/>
        <v/>
      </c>
      <c r="P33" s="4"/>
      <c r="Q33" s="4"/>
      <c r="R33" s="4"/>
      <c r="S33" s="4"/>
    </row>
    <row r="34" spans="1:19" ht="42" customHeight="1">
      <c r="A34" s="4"/>
      <c r="B34" s="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2" t="str">
        <f t="shared" si="0"/>
        <v/>
      </c>
      <c r="P34" s="4"/>
      <c r="Q34" s="4"/>
      <c r="R34" s="4"/>
      <c r="S34" s="4"/>
    </row>
    <row r="35" spans="1:19" ht="42" customHeight="1">
      <c r="A35" s="4"/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2" t="str">
        <f t="shared" si="0"/>
        <v/>
      </c>
      <c r="P35" s="4"/>
      <c r="Q35" s="4"/>
      <c r="R35" s="4"/>
      <c r="S35" s="4"/>
    </row>
    <row r="36" spans="1:19" ht="42" customHeight="1">
      <c r="A36" s="4"/>
      <c r="B36" s="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2" t="str">
        <f t="shared" si="0"/>
        <v/>
      </c>
      <c r="P36" s="4"/>
      <c r="Q36" s="4"/>
      <c r="R36" s="4"/>
      <c r="S36" s="4"/>
    </row>
    <row r="37" spans="1:19" ht="42" customHeight="1">
      <c r="A37" s="4"/>
      <c r="B37" s="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2" t="str">
        <f t="shared" si="0"/>
        <v/>
      </c>
      <c r="P37" s="4"/>
      <c r="Q37" s="4"/>
      <c r="R37" s="4"/>
      <c r="S37" s="4"/>
    </row>
    <row r="38" spans="1:19" ht="42" customHeight="1">
      <c r="A38" s="4"/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2" t="str">
        <f t="shared" ref="O38:O55" si="1">IF($A38="","",IFERROR(AVERAGE($C38:$N38),""))</f>
        <v/>
      </c>
      <c r="P38" s="4"/>
      <c r="Q38" s="4"/>
      <c r="R38" s="4"/>
      <c r="S38" s="4"/>
    </row>
    <row r="39" spans="1:19" ht="42" customHeight="1">
      <c r="A39" s="4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2" t="str">
        <f t="shared" si="1"/>
        <v/>
      </c>
      <c r="P39" s="4"/>
      <c r="Q39" s="4"/>
      <c r="R39" s="4"/>
      <c r="S39" s="4"/>
    </row>
    <row r="40" spans="1:19" ht="42" customHeight="1">
      <c r="A40" s="4"/>
      <c r="B40" s="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2" t="str">
        <f t="shared" si="1"/>
        <v/>
      </c>
      <c r="P40" s="4"/>
      <c r="Q40" s="4"/>
      <c r="R40" s="4"/>
      <c r="S40" s="4"/>
    </row>
    <row r="41" spans="1:19" ht="42" customHeight="1">
      <c r="A41" s="4"/>
      <c r="B41" s="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2" t="str">
        <f t="shared" si="1"/>
        <v/>
      </c>
      <c r="P41" s="4"/>
      <c r="Q41" s="4"/>
      <c r="R41" s="4"/>
      <c r="S41" s="4"/>
    </row>
    <row r="42" spans="1:19" ht="42" customHeight="1">
      <c r="A42" s="4"/>
      <c r="B42" s="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2" t="str">
        <f t="shared" si="1"/>
        <v/>
      </c>
      <c r="P42" s="4"/>
      <c r="Q42" s="4"/>
      <c r="R42" s="4"/>
      <c r="S42" s="4"/>
    </row>
    <row r="43" spans="1:19" ht="42" customHeight="1">
      <c r="A43" s="4"/>
      <c r="B43" s="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2" t="str">
        <f t="shared" si="1"/>
        <v/>
      </c>
      <c r="P43" s="4"/>
      <c r="Q43" s="4"/>
      <c r="R43" s="4"/>
      <c r="S43" s="4"/>
    </row>
    <row r="44" spans="1:19" ht="42" customHeight="1">
      <c r="A44" s="4"/>
      <c r="B44" s="8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2" t="str">
        <f t="shared" si="1"/>
        <v/>
      </c>
      <c r="P44" s="4"/>
      <c r="Q44" s="4"/>
      <c r="R44" s="4"/>
      <c r="S44" s="4"/>
    </row>
    <row r="45" spans="1:19" ht="42" customHeight="1">
      <c r="A45" s="4"/>
      <c r="B45" s="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2" t="str">
        <f t="shared" si="1"/>
        <v/>
      </c>
      <c r="P45" s="4"/>
      <c r="Q45" s="4"/>
      <c r="R45" s="4"/>
      <c r="S45" s="4"/>
    </row>
    <row r="46" spans="1:19" ht="42" customHeight="1">
      <c r="A46" s="4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2" t="str">
        <f t="shared" si="1"/>
        <v/>
      </c>
      <c r="P46" s="4"/>
      <c r="Q46" s="4"/>
      <c r="R46" s="4"/>
      <c r="S46" s="4"/>
    </row>
    <row r="47" spans="1:19" ht="42" customHeight="1">
      <c r="A47" s="4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2" t="str">
        <f t="shared" si="1"/>
        <v/>
      </c>
      <c r="P47" s="4"/>
      <c r="Q47" s="4"/>
      <c r="R47" s="4"/>
      <c r="S47" s="4"/>
    </row>
    <row r="48" spans="1:19" ht="42" customHeight="1">
      <c r="A48" s="4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2" t="str">
        <f t="shared" si="1"/>
        <v/>
      </c>
      <c r="P48" s="4"/>
      <c r="Q48" s="4"/>
      <c r="R48" s="4"/>
      <c r="S48" s="4"/>
    </row>
    <row r="49" spans="1:19" ht="42" customHeight="1">
      <c r="A49" s="4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2" t="str">
        <f t="shared" si="1"/>
        <v/>
      </c>
      <c r="P49" s="4"/>
      <c r="Q49" s="4"/>
      <c r="R49" s="4"/>
      <c r="S49" s="4"/>
    </row>
    <row r="50" spans="1:19" ht="42" customHeight="1">
      <c r="A50" s="4"/>
      <c r="B50" s="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2" t="str">
        <f t="shared" si="1"/>
        <v/>
      </c>
      <c r="P50" s="4"/>
      <c r="Q50" s="4"/>
      <c r="R50" s="4"/>
      <c r="S50" s="4"/>
    </row>
    <row r="51" spans="1:19" ht="42" customHeight="1">
      <c r="A51" s="4"/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2" t="str">
        <f t="shared" si="1"/>
        <v/>
      </c>
      <c r="P51" s="4"/>
      <c r="Q51" s="4"/>
      <c r="R51" s="4"/>
      <c r="S51" s="4"/>
    </row>
    <row r="52" spans="1:19" ht="42" customHeight="1">
      <c r="A52" s="4"/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2" t="str">
        <f t="shared" si="1"/>
        <v/>
      </c>
      <c r="P52" s="4"/>
      <c r="Q52" s="4"/>
      <c r="R52" s="4"/>
      <c r="S52" s="4"/>
    </row>
    <row r="53" spans="1:19" ht="42" customHeight="1">
      <c r="A53" s="4"/>
      <c r="B53" s="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2" t="str">
        <f t="shared" si="1"/>
        <v/>
      </c>
      <c r="P53" s="4"/>
      <c r="Q53" s="4"/>
      <c r="R53" s="4"/>
      <c r="S53" s="4"/>
    </row>
    <row r="54" spans="1:19" ht="42" customHeight="1">
      <c r="A54" s="4"/>
      <c r="B54" s="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2" t="str">
        <f t="shared" si="1"/>
        <v/>
      </c>
      <c r="P54" s="4"/>
      <c r="Q54" s="4"/>
      <c r="R54" s="4"/>
      <c r="S54" s="4"/>
    </row>
    <row r="55" spans="1:19" ht="42" customHeight="1">
      <c r="A55" s="4"/>
      <c r="B55" s="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2" t="str">
        <f t="shared" si="1"/>
        <v/>
      </c>
      <c r="P55" s="4"/>
      <c r="Q55" s="4"/>
      <c r="R55" s="4"/>
      <c r="S55" s="4"/>
    </row>
  </sheetData>
  <mergeCells count="3">
    <mergeCell ref="A1:S1"/>
    <mergeCell ref="A2:S2"/>
    <mergeCell ref="A4:S4"/>
  </mergeCells>
  <dataValidations count="2">
    <dataValidation type="list" sqref="C6:N55" xr:uid="{00000000-0002-0000-0500-000000000000}">
      <formula1>"1,2,3,4,5"</formula1>
    </dataValidation>
    <dataValidation type="list" sqref="P6:P55" xr:uid="{00000000-0002-0000-0500-000001000000}">
      <formula1>"Yes,Maybe,No"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5"/>
  <sheetViews>
    <sheetView showGridLines="0" workbookViewId="0">
      <selection sqref="A1:P1"/>
    </sheetView>
  </sheetViews>
  <sheetFormatPr defaultRowHeight="13.8"/>
  <cols>
    <col min="1" max="1" width="14" customWidth="1"/>
    <col min="2" max="2" width="20" customWidth="1"/>
    <col min="3" max="5" width="18" customWidth="1"/>
    <col min="6" max="6" width="30" customWidth="1"/>
    <col min="7" max="7" width="42" customWidth="1"/>
    <col min="8" max="8" width="48" customWidth="1"/>
    <col min="9" max="10" width="42" customWidth="1"/>
    <col min="11" max="12" width="14" customWidth="1"/>
    <col min="13" max="13" width="17" customWidth="1"/>
    <col min="14" max="14" width="15" customWidth="1"/>
    <col min="15" max="15" width="20" customWidth="1"/>
    <col min="16" max="16" width="42" customWidth="1"/>
  </cols>
  <sheetData>
    <row r="1" spans="1:16" ht="30" customHeight="1">
      <c r="A1" s="26" t="s">
        <v>738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30" customHeight="1">
      <c r="A2" s="27" t="s">
        <v>739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16" ht="30" customHeight="1">
      <c r="A4" s="41" t="s">
        <v>740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6" ht="34.049999999999997" customHeight="1">
      <c r="A5" s="2" t="s">
        <v>663</v>
      </c>
      <c r="B5" s="2" t="s">
        <v>741</v>
      </c>
      <c r="C5" s="2" t="s">
        <v>72</v>
      </c>
      <c r="D5" s="2" t="s">
        <v>87</v>
      </c>
      <c r="E5" s="2" t="s">
        <v>28</v>
      </c>
      <c r="F5" s="2" t="s">
        <v>742</v>
      </c>
      <c r="G5" s="2" t="s">
        <v>743</v>
      </c>
      <c r="H5" s="2" t="s">
        <v>744</v>
      </c>
      <c r="I5" s="2" t="s">
        <v>95</v>
      </c>
      <c r="J5" s="2" t="s">
        <v>745</v>
      </c>
      <c r="K5" s="2" t="s">
        <v>746</v>
      </c>
      <c r="L5" s="2" t="s">
        <v>91</v>
      </c>
      <c r="M5" s="2" t="s">
        <v>661</v>
      </c>
      <c r="N5" s="2" t="s">
        <v>747</v>
      </c>
      <c r="O5" s="2" t="s">
        <v>748</v>
      </c>
      <c r="P5" s="2" t="s">
        <v>749</v>
      </c>
    </row>
    <row r="6" spans="1:16" ht="58.0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/>
      <c r="O6" s="3"/>
      <c r="P6" s="3"/>
    </row>
    <row r="7" spans="1:16" ht="58.0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8"/>
      <c r="O7" s="4"/>
      <c r="P7" s="4"/>
    </row>
    <row r="8" spans="1:16" ht="58.0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4"/>
      <c r="P8" s="4"/>
    </row>
    <row r="9" spans="1:16" ht="58.0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"/>
      <c r="P9" s="4"/>
    </row>
    <row r="10" spans="1:16" ht="58.0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"/>
      <c r="P10" s="4"/>
    </row>
    <row r="11" spans="1:16" ht="58.0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</row>
    <row r="12" spans="1:16" ht="58.0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</row>
    <row r="13" spans="1:16" ht="58.0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</row>
    <row r="14" spans="1:16" ht="58.0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8"/>
      <c r="O14" s="4"/>
      <c r="P14" s="4"/>
    </row>
    <row r="15" spans="1:16" ht="58.0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8"/>
      <c r="O15" s="4"/>
      <c r="P15" s="4"/>
    </row>
    <row r="16" spans="1:16" ht="58.0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8"/>
      <c r="O16" s="4"/>
      <c r="P16" s="4"/>
    </row>
    <row r="17" spans="1:16" ht="58.0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8"/>
      <c r="O17" s="4"/>
      <c r="P17" s="4"/>
    </row>
    <row r="18" spans="1:16" ht="58.0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8"/>
      <c r="O18" s="4"/>
      <c r="P18" s="4"/>
    </row>
    <row r="19" spans="1:16" ht="58.0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8"/>
      <c r="O19" s="4"/>
      <c r="P19" s="4"/>
    </row>
    <row r="20" spans="1:16" ht="58.0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8"/>
      <c r="O20" s="4"/>
      <c r="P20" s="4"/>
    </row>
    <row r="21" spans="1:16" ht="58.0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8"/>
      <c r="O21" s="4"/>
      <c r="P21" s="4"/>
    </row>
    <row r="22" spans="1:16" ht="58.0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8"/>
      <c r="O22" s="4"/>
      <c r="P22" s="4"/>
    </row>
    <row r="23" spans="1:16" ht="58.0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8"/>
      <c r="O23" s="4"/>
      <c r="P23" s="4"/>
    </row>
    <row r="24" spans="1:16" ht="58.0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8"/>
      <c r="O24" s="4"/>
      <c r="P24" s="4"/>
    </row>
    <row r="25" spans="1:16" ht="58.0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8"/>
      <c r="O25" s="4"/>
      <c r="P25" s="4"/>
    </row>
    <row r="26" spans="1:16" ht="58.0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8"/>
      <c r="O26" s="4"/>
      <c r="P26" s="4"/>
    </row>
    <row r="27" spans="1:16" ht="58.0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8"/>
      <c r="O27" s="4"/>
      <c r="P27" s="4"/>
    </row>
    <row r="28" spans="1:16" ht="58.0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8"/>
      <c r="O28" s="4"/>
      <c r="P28" s="4"/>
    </row>
    <row r="29" spans="1:16" ht="58.0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8"/>
      <c r="O29" s="4"/>
      <c r="P29" s="4"/>
    </row>
    <row r="30" spans="1:16" ht="58.0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8"/>
      <c r="O30" s="4"/>
      <c r="P30" s="4"/>
    </row>
    <row r="31" spans="1:16" ht="58.0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8"/>
      <c r="O31" s="4"/>
      <c r="P31" s="4"/>
    </row>
    <row r="32" spans="1:16" ht="58.0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8"/>
      <c r="O32" s="4"/>
      <c r="P32" s="4"/>
    </row>
    <row r="33" spans="1:16" ht="58.0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8"/>
      <c r="O33" s="4"/>
      <c r="P33" s="4"/>
    </row>
    <row r="34" spans="1:16" ht="58.0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8"/>
      <c r="O34" s="4"/>
      <c r="P34" s="4"/>
    </row>
    <row r="35" spans="1:16" ht="58.0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8"/>
      <c r="O35" s="4"/>
      <c r="P35" s="4"/>
    </row>
    <row r="36" spans="1:16" ht="58.0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8"/>
      <c r="O36" s="4"/>
      <c r="P36" s="4"/>
    </row>
    <row r="37" spans="1:16" ht="58.0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8"/>
      <c r="O37" s="4"/>
      <c r="P37" s="4"/>
    </row>
    <row r="38" spans="1:16" ht="58.0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8"/>
      <c r="O38" s="4"/>
      <c r="P38" s="4"/>
    </row>
    <row r="39" spans="1:16" ht="58.0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8"/>
      <c r="O39" s="4"/>
      <c r="P39" s="4"/>
    </row>
    <row r="40" spans="1:16" ht="58.0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8"/>
      <c r="O40" s="4"/>
      <c r="P40" s="4"/>
    </row>
    <row r="41" spans="1:16" ht="58.0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8"/>
      <c r="O41" s="4"/>
      <c r="P41" s="4"/>
    </row>
    <row r="42" spans="1:16" ht="58.0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8"/>
      <c r="O42" s="4"/>
      <c r="P42" s="4"/>
    </row>
    <row r="43" spans="1:16" ht="58.0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8"/>
      <c r="O43" s="4"/>
      <c r="P43" s="4"/>
    </row>
    <row r="44" spans="1:16" ht="58.0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8"/>
      <c r="O44" s="4"/>
      <c r="P44" s="4"/>
    </row>
    <row r="45" spans="1:16" ht="58.0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8"/>
      <c r="O45" s="4"/>
      <c r="P45" s="4"/>
    </row>
    <row r="46" spans="1:16" ht="58.0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8"/>
      <c r="O46" s="4"/>
      <c r="P46" s="4"/>
    </row>
    <row r="47" spans="1:16" ht="58.0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8"/>
      <c r="O47" s="4"/>
      <c r="P47" s="4"/>
    </row>
    <row r="48" spans="1:16" ht="58.0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8"/>
      <c r="O48" s="4"/>
      <c r="P48" s="4"/>
    </row>
    <row r="49" spans="1:16" ht="58.0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8"/>
      <c r="O49" s="4"/>
      <c r="P49" s="4"/>
    </row>
    <row r="50" spans="1:16" ht="58.0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8"/>
      <c r="O50" s="4"/>
      <c r="P50" s="4"/>
    </row>
    <row r="51" spans="1:16" ht="58.0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8"/>
      <c r="O51" s="4"/>
      <c r="P51" s="4"/>
    </row>
    <row r="52" spans="1:16" ht="58.0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8"/>
      <c r="O52" s="4"/>
      <c r="P52" s="4"/>
    </row>
    <row r="53" spans="1:16" ht="58.0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8"/>
      <c r="O53" s="4"/>
      <c r="P53" s="4"/>
    </row>
    <row r="54" spans="1:16" ht="58.0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8"/>
      <c r="O54" s="4"/>
      <c r="P54" s="4"/>
    </row>
    <row r="55" spans="1:16" ht="58.0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8"/>
      <c r="O55" s="4"/>
      <c r="P55" s="4"/>
    </row>
    <row r="56" spans="1:16" ht="58.0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8"/>
      <c r="O56" s="4"/>
      <c r="P56" s="4"/>
    </row>
    <row r="57" spans="1:16" ht="58.0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8"/>
      <c r="O57" s="4"/>
      <c r="P57" s="4"/>
    </row>
    <row r="58" spans="1:16" ht="58.0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8"/>
      <c r="O58" s="4"/>
      <c r="P58" s="4"/>
    </row>
    <row r="59" spans="1:16" ht="58.0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8"/>
      <c r="O59" s="4"/>
      <c r="P59" s="4"/>
    </row>
    <row r="60" spans="1:16" ht="58.0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8"/>
      <c r="O60" s="4"/>
      <c r="P60" s="4"/>
    </row>
    <row r="61" spans="1:16" ht="58.0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8"/>
      <c r="O61" s="4"/>
      <c r="P61" s="4"/>
    </row>
    <row r="62" spans="1:16" ht="58.0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8"/>
      <c r="O62" s="4"/>
      <c r="P62" s="4"/>
    </row>
    <row r="63" spans="1:16" ht="58.0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8"/>
      <c r="O63" s="4"/>
      <c r="P63" s="4"/>
    </row>
    <row r="64" spans="1:16" ht="58.0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8"/>
      <c r="O64" s="4"/>
      <c r="P64" s="4"/>
    </row>
    <row r="65" spans="1:16" ht="58.0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8"/>
      <c r="O65" s="4"/>
      <c r="P65" s="4"/>
    </row>
    <row r="66" spans="1:16" ht="58.0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8"/>
      <c r="O66" s="4"/>
      <c r="P66" s="4"/>
    </row>
    <row r="67" spans="1:16" ht="58.0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8"/>
      <c r="O67" s="4"/>
      <c r="P67" s="4"/>
    </row>
    <row r="68" spans="1:16" ht="58.0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8"/>
      <c r="O68" s="4"/>
      <c r="P68" s="4"/>
    </row>
    <row r="69" spans="1:16" ht="58.0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8"/>
      <c r="O69" s="4"/>
      <c r="P69" s="4"/>
    </row>
    <row r="70" spans="1:16" ht="58.0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8"/>
      <c r="O70" s="4"/>
      <c r="P70" s="4"/>
    </row>
    <row r="71" spans="1:16" ht="58.0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8"/>
      <c r="O71" s="4"/>
      <c r="P71" s="4"/>
    </row>
    <row r="72" spans="1:16" ht="58.0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8"/>
      <c r="O72" s="4"/>
      <c r="P72" s="4"/>
    </row>
    <row r="73" spans="1:16" ht="58.0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8"/>
      <c r="O73" s="4"/>
      <c r="P73" s="4"/>
    </row>
    <row r="74" spans="1:16" ht="58.0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8"/>
      <c r="O74" s="4"/>
      <c r="P74" s="4"/>
    </row>
    <row r="75" spans="1:16" ht="58.0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8"/>
      <c r="O75" s="4"/>
      <c r="P75" s="4"/>
    </row>
    <row r="76" spans="1:16" ht="58.0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8"/>
      <c r="O76" s="4"/>
      <c r="P76" s="4"/>
    </row>
    <row r="77" spans="1:16" ht="58.0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8"/>
      <c r="O77" s="4"/>
      <c r="P77" s="4"/>
    </row>
    <row r="78" spans="1:16" ht="58.0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8"/>
      <c r="O78" s="4"/>
      <c r="P78" s="4"/>
    </row>
    <row r="79" spans="1:16" ht="58.0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8"/>
      <c r="O79" s="4"/>
      <c r="P79" s="4"/>
    </row>
    <row r="80" spans="1:16" ht="58.0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8"/>
      <c r="O80" s="4"/>
      <c r="P80" s="4"/>
    </row>
    <row r="81" spans="1:16" ht="58.0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8"/>
      <c r="O81" s="4"/>
      <c r="P81" s="4"/>
    </row>
    <row r="82" spans="1:16" ht="58.0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8"/>
      <c r="O82" s="4"/>
      <c r="P82" s="4"/>
    </row>
    <row r="83" spans="1:16" ht="58.0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8"/>
      <c r="O83" s="4"/>
      <c r="P83" s="4"/>
    </row>
    <row r="84" spans="1:16" ht="58.0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8"/>
      <c r="O84" s="4"/>
      <c r="P84" s="4"/>
    </row>
    <row r="85" spans="1:16" ht="58.0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8"/>
      <c r="O85" s="4"/>
      <c r="P85" s="4"/>
    </row>
    <row r="86" spans="1:16" ht="58.0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8"/>
      <c r="O86" s="4"/>
      <c r="P86" s="4"/>
    </row>
    <row r="87" spans="1:16" ht="58.0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8"/>
      <c r="O87" s="4"/>
      <c r="P87" s="4"/>
    </row>
    <row r="88" spans="1:16" ht="58.0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8"/>
      <c r="O88" s="4"/>
      <c r="P88" s="4"/>
    </row>
    <row r="89" spans="1:16" ht="58.0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8"/>
      <c r="O89" s="4"/>
      <c r="P89" s="4"/>
    </row>
    <row r="90" spans="1:16" ht="58.0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8"/>
      <c r="O90" s="4"/>
      <c r="P90" s="4"/>
    </row>
    <row r="91" spans="1:16" ht="58.0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8"/>
      <c r="O91" s="4"/>
      <c r="P91" s="4"/>
    </row>
    <row r="92" spans="1:16" ht="58.0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8"/>
      <c r="O92" s="4"/>
      <c r="P92" s="4"/>
    </row>
    <row r="93" spans="1:16" ht="58.0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8"/>
      <c r="O93" s="4"/>
      <c r="P93" s="4"/>
    </row>
    <row r="94" spans="1:16" ht="58.0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8"/>
      <c r="O94" s="4"/>
      <c r="P94" s="4"/>
    </row>
    <row r="95" spans="1:16" ht="58.0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8"/>
      <c r="O95" s="4"/>
      <c r="P95" s="4"/>
    </row>
    <row r="96" spans="1:16" ht="58.0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8"/>
      <c r="O96" s="4"/>
      <c r="P96" s="4"/>
    </row>
    <row r="97" spans="1:16" ht="58.0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8"/>
      <c r="O97" s="4"/>
      <c r="P97" s="4"/>
    </row>
    <row r="98" spans="1:16" ht="58.0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8"/>
      <c r="O98" s="4"/>
      <c r="P98" s="4"/>
    </row>
    <row r="99" spans="1:16" ht="58.0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8"/>
      <c r="O99" s="4"/>
      <c r="P99" s="4"/>
    </row>
    <row r="100" spans="1:16" ht="58.0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8"/>
      <c r="O100" s="4"/>
      <c r="P100" s="4"/>
    </row>
    <row r="101" spans="1:16" ht="58.0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8"/>
      <c r="O101" s="4"/>
      <c r="P101" s="4"/>
    </row>
    <row r="102" spans="1:16" ht="58.0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8"/>
      <c r="O102" s="4"/>
      <c r="P102" s="4"/>
    </row>
    <row r="103" spans="1:16" ht="58.0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8"/>
      <c r="O103" s="4"/>
      <c r="P103" s="4"/>
    </row>
    <row r="104" spans="1:16" ht="58.0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8"/>
      <c r="O104" s="4"/>
      <c r="P104" s="4"/>
    </row>
    <row r="105" spans="1:16" ht="58.0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8"/>
      <c r="O105" s="4"/>
      <c r="P105" s="4"/>
    </row>
  </sheetData>
  <mergeCells count="3">
    <mergeCell ref="A1:P1"/>
    <mergeCell ref="A2:P2"/>
    <mergeCell ref="A4:P4"/>
  </mergeCells>
  <conditionalFormatting sqref="K6:L105">
    <cfRule type="containsText" dxfId="9" priority="1" operator="containsText" text="Critical"/>
    <cfRule type="containsText" dxfId="8" priority="2" operator="containsText" text="High"/>
  </conditionalFormatting>
  <conditionalFormatting sqref="M6:M105">
    <cfRule type="containsText" dxfId="7" priority="3" operator="containsText" text="Closed"/>
    <cfRule type="containsText" dxfId="6" priority="4" operator="containsText" text="Open"/>
  </conditionalFormatting>
  <dataValidations count="3">
    <dataValidation type="list" sqref="E6:E105" xr:uid="{00000000-0002-0000-0600-000000000000}">
      <formula1>"All,Model A,Model B,Model C,Not Applicable"</formula1>
    </dataValidation>
    <dataValidation type="list" sqref="K6:L105" xr:uid="{00000000-0002-0000-0600-000001000000}">
      <formula1>"Critical,High,Medium,Low"</formula1>
    </dataValidation>
    <dataValidation type="list" sqref="M6:M105" xr:uid="{00000000-0002-0000-0600-000003000000}">
      <formula1>"Open,In Progress,Fixed,Retest,Closed,Deferred"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workbookViewId="0">
      <selection sqref="A1:H1"/>
    </sheetView>
  </sheetViews>
  <sheetFormatPr defaultRowHeight="13.8"/>
  <cols>
    <col min="1" max="1" width="16" customWidth="1"/>
    <col min="2" max="2" width="36" customWidth="1"/>
    <col min="3" max="3" width="18" customWidth="1"/>
    <col min="4" max="4" width="16" customWidth="1"/>
    <col min="5" max="8" width="19" customWidth="1"/>
  </cols>
  <sheetData>
    <row r="1" spans="1:8" ht="30" customHeight="1">
      <c r="A1" s="26" t="s">
        <v>750</v>
      </c>
      <c r="B1" s="26"/>
      <c r="C1" s="26"/>
      <c r="D1" s="26"/>
      <c r="E1" s="26"/>
      <c r="F1" s="26"/>
      <c r="G1" s="26"/>
      <c r="H1" s="26"/>
    </row>
    <row r="2" spans="1:8" ht="30" customHeight="1">
      <c r="A2" s="27" t="s">
        <v>751</v>
      </c>
      <c r="B2" s="27"/>
      <c r="C2" s="27"/>
      <c r="D2" s="27"/>
      <c r="E2" s="27"/>
      <c r="F2" s="27"/>
      <c r="G2" s="27"/>
      <c r="H2" s="27"/>
    </row>
    <row r="4" spans="1:8">
      <c r="A4" s="57" t="s">
        <v>752</v>
      </c>
      <c r="B4" s="57"/>
      <c r="D4" s="57" t="s">
        <v>753</v>
      </c>
      <c r="E4" s="57"/>
      <c r="G4" s="57" t="s">
        <v>754</v>
      </c>
      <c r="H4" s="57"/>
    </row>
    <row r="5" spans="1:8">
      <c r="A5" s="42">
        <f>COUNTIF('Test Participants'!$A$6:$A$55,"&lt;&gt;")</f>
        <v>0</v>
      </c>
      <c r="B5" s="43"/>
      <c r="D5" s="42">
        <f>COUNTIFS('Test Execution'!$I$6:$I$205,"&lt;&gt;",'Test Execution'!$I$6:$I$205,"&lt;&gt;Not Run")</f>
        <v>0</v>
      </c>
      <c r="E5" s="43"/>
      <c r="G5" s="56">
        <f>IFERROR(COUNTIF('Test Execution'!$I$6:$I$205,"Pass")/(COUNTIF('Test Execution'!$I$6:$I$205,"Pass")+COUNTIF('Test Execution'!$I$6:$I$205,"Fail")),0)</f>
        <v>0</v>
      </c>
      <c r="H5" s="43"/>
    </row>
    <row r="6" spans="1:8">
      <c r="A6" s="44"/>
      <c r="B6" s="45"/>
      <c r="D6" s="44"/>
      <c r="E6" s="45"/>
      <c r="G6" s="44"/>
      <c r="H6" s="45"/>
    </row>
    <row r="8" spans="1:8">
      <c r="A8" s="57" t="s">
        <v>755</v>
      </c>
      <c r="B8" s="57"/>
      <c r="D8" s="57" t="s">
        <v>756</v>
      </c>
      <c r="E8" s="57"/>
      <c r="G8" s="57" t="s">
        <v>757</v>
      </c>
      <c r="H8" s="57"/>
    </row>
    <row r="9" spans="1:8">
      <c r="A9" s="42">
        <f>COUNTIF('Test Execution'!$I$6:$I$205,"Fail")</f>
        <v>0</v>
      </c>
      <c r="B9" s="43"/>
      <c r="D9" s="42">
        <f>COUNTIFS('Defect Log'!$A$6:$A$105,"&lt;&gt;",'Defect Log'!$M$6:$M$105,"&lt;&gt;Closed")</f>
        <v>0</v>
      </c>
      <c r="E9" s="43"/>
      <c r="G9" s="46">
        <f>IFERROR(AVERAGE('Usability Feedback'!$O$6:$O$55),0)</f>
        <v>0</v>
      </c>
      <c r="H9" s="43"/>
    </row>
    <row r="10" spans="1:8">
      <c r="A10" s="44"/>
      <c r="B10" s="45"/>
      <c r="D10" s="44"/>
      <c r="E10" s="45"/>
      <c r="G10" s="44"/>
      <c r="H10" s="45"/>
    </row>
    <row r="13" spans="1:8" ht="34.049999999999997" customHeight="1">
      <c r="A13" s="2" t="s">
        <v>758</v>
      </c>
      <c r="B13" s="2" t="s">
        <v>759</v>
      </c>
      <c r="D13" s="2" t="s">
        <v>28</v>
      </c>
      <c r="E13" s="2" t="s">
        <v>760</v>
      </c>
      <c r="F13" s="2" t="s">
        <v>761</v>
      </c>
      <c r="G13" s="2" t="s">
        <v>762</v>
      </c>
      <c r="H13" s="2" t="s">
        <v>763</v>
      </c>
    </row>
    <row r="14" spans="1:8">
      <c r="A14" s="3" t="s">
        <v>48</v>
      </c>
      <c r="B14" s="3">
        <f>COUNTIF('Test Execution'!$I$6:$I$205,A14)</f>
        <v>0</v>
      </c>
      <c r="D14" s="3" t="s">
        <v>32</v>
      </c>
      <c r="E14" s="3">
        <f>COUNTIFS('Model Validation'!$K$6:$K$55,$D14,'Model Validation'!$N$6:$N$55,"&lt;&gt;")</f>
        <v>0</v>
      </c>
      <c r="F14" s="3">
        <f>COUNTIFS('Model Validation'!$K$6:$K$55,$D14,'Model Validation'!$M$6:$M$55,"Pass")</f>
        <v>0</v>
      </c>
      <c r="G14" s="3">
        <f>COUNTIFS('Model Validation'!$K$6:$K$55,$D14,'Model Validation'!$Q$6:$Q$55,"Pass")</f>
        <v>0</v>
      </c>
      <c r="H14" s="3">
        <f>COUNTIFS('Model Validation'!$K$6:$K$55,$D14,'Model Validation'!$R$6:$R$55,"Pass")</f>
        <v>0</v>
      </c>
    </row>
    <row r="15" spans="1:8">
      <c r="A15" s="4" t="s">
        <v>52</v>
      </c>
      <c r="B15" s="4">
        <f>COUNTIF('Test Execution'!$I$6:$I$205,A15)</f>
        <v>0</v>
      </c>
      <c r="D15" s="4" t="s">
        <v>36</v>
      </c>
      <c r="E15" s="4">
        <f>COUNTIFS('Model Validation'!$K$6:$K$55,$D15,'Model Validation'!$N$6:$N$55,"&lt;&gt;")</f>
        <v>0</v>
      </c>
      <c r="F15" s="4">
        <f>COUNTIFS('Model Validation'!$K$6:$K$55,$D15,'Model Validation'!$M$6:$M$55,"Pass")</f>
        <v>0</v>
      </c>
      <c r="G15" s="4">
        <f>COUNTIFS('Model Validation'!$K$6:$K$55,$D15,'Model Validation'!$Q$6:$Q$55,"Pass")</f>
        <v>0</v>
      </c>
      <c r="H15" s="4">
        <f>COUNTIFS('Model Validation'!$K$6:$K$55,$D15,'Model Validation'!$R$6:$R$55,"Pass")</f>
        <v>0</v>
      </c>
    </row>
    <row r="16" spans="1:8">
      <c r="A16" s="4" t="s">
        <v>56</v>
      </c>
      <c r="B16" s="4">
        <f>COUNTIF('Test Execution'!$I$6:$I$205,A16)</f>
        <v>0</v>
      </c>
      <c r="D16" s="4" t="s">
        <v>40</v>
      </c>
      <c r="E16" s="4">
        <f>COUNTIFS('Model Validation'!$K$6:$K$55,$D16,'Model Validation'!$N$6:$N$55,"&lt;&gt;")</f>
        <v>0</v>
      </c>
      <c r="F16" s="4">
        <f>COUNTIFS('Model Validation'!$K$6:$K$55,$D16,'Model Validation'!$M$6:$M$55,"Pass")</f>
        <v>0</v>
      </c>
      <c r="G16" s="4">
        <f>COUNTIFS('Model Validation'!$K$6:$K$55,$D16,'Model Validation'!$Q$6:$Q$55,"Pass")</f>
        <v>0</v>
      </c>
      <c r="H16" s="4">
        <f>COUNTIFS('Model Validation'!$K$6:$K$55,$D16,'Model Validation'!$R$6:$R$55,"Pass")</f>
        <v>0</v>
      </c>
    </row>
    <row r="17" spans="1:8">
      <c r="A17" s="4" t="s">
        <v>60</v>
      </c>
      <c r="B17" s="4">
        <f>COUNTIF('Test Execution'!$I$6:$I$205,A17)</f>
        <v>0</v>
      </c>
    </row>
    <row r="18" spans="1:8">
      <c r="A18" s="4" t="s">
        <v>64</v>
      </c>
      <c r="B18" s="4">
        <f>COUNTIF('Test Execution'!$I$6:$I$205,A18)</f>
        <v>0</v>
      </c>
    </row>
    <row r="21" spans="1:8" ht="34.049999999999997" customHeight="1">
      <c r="A21" s="2" t="s">
        <v>764</v>
      </c>
      <c r="B21" s="2" t="s">
        <v>765</v>
      </c>
      <c r="C21" s="2" t="s">
        <v>733</v>
      </c>
      <c r="E21" s="2" t="s">
        <v>766</v>
      </c>
      <c r="F21" s="2" t="s">
        <v>759</v>
      </c>
    </row>
    <row r="22" spans="1:8">
      <c r="A22" s="3" t="s">
        <v>721</v>
      </c>
      <c r="B22" s="3" t="s">
        <v>767</v>
      </c>
      <c r="C22" s="11">
        <f>IFERROR(AVERAGE('Usability Feedback'!$C$6:$C$55),0)</f>
        <v>0</v>
      </c>
      <c r="E22" s="3" t="s">
        <v>50</v>
      </c>
      <c r="F22" s="3">
        <f>COUNTIF('Defect Log'!$K$6:$K$105,E22)</f>
        <v>0</v>
      </c>
    </row>
    <row r="23" spans="1:8">
      <c r="A23" s="4" t="s">
        <v>722</v>
      </c>
      <c r="B23" s="4" t="s">
        <v>768</v>
      </c>
      <c r="C23" s="12">
        <f>IFERROR(AVERAGE('Usability Feedback'!$D$6:$D$55),0)</f>
        <v>0</v>
      </c>
      <c r="E23" s="4" t="s">
        <v>54</v>
      </c>
      <c r="F23" s="4">
        <f>COUNTIF('Defect Log'!$K$6:$K$105,E23)</f>
        <v>0</v>
      </c>
    </row>
    <row r="24" spans="1:8">
      <c r="A24" s="4" t="s">
        <v>723</v>
      </c>
      <c r="B24" s="4" t="s">
        <v>769</v>
      </c>
      <c r="C24" s="12">
        <f>IFERROR(AVERAGE('Usability Feedback'!$E$6:$E$55),0)</f>
        <v>0</v>
      </c>
      <c r="E24" s="4" t="s">
        <v>58</v>
      </c>
      <c r="F24" s="4">
        <f>COUNTIF('Defect Log'!$K$6:$K$105,E24)</f>
        <v>0</v>
      </c>
    </row>
    <row r="25" spans="1:8">
      <c r="A25" s="4" t="s">
        <v>724</v>
      </c>
      <c r="B25" s="4" t="s">
        <v>770</v>
      </c>
      <c r="C25" s="12">
        <f>IFERROR(AVERAGE('Usability Feedback'!$F$6:$F$55),0)</f>
        <v>0</v>
      </c>
      <c r="E25" s="4" t="s">
        <v>62</v>
      </c>
      <c r="F25" s="4">
        <f>COUNTIF('Defect Log'!$K$6:$K$105,E25)</f>
        <v>0</v>
      </c>
    </row>
    <row r="26" spans="1:8">
      <c r="A26" s="4" t="s">
        <v>725</v>
      </c>
      <c r="B26" s="4" t="s">
        <v>254</v>
      </c>
      <c r="C26" s="12">
        <f>IFERROR(AVERAGE('Usability Feedback'!$G$6:$G$55),0)</f>
        <v>0</v>
      </c>
    </row>
    <row r="27" spans="1:8">
      <c r="A27" s="4" t="s">
        <v>726</v>
      </c>
      <c r="B27" s="4" t="s">
        <v>771</v>
      </c>
      <c r="C27" s="12">
        <f>IFERROR(AVERAGE('Usability Feedback'!$H$6:$H$55),0)</f>
        <v>0</v>
      </c>
    </row>
    <row r="28" spans="1:8">
      <c r="A28" s="4" t="s">
        <v>727</v>
      </c>
      <c r="B28" s="4" t="s">
        <v>772</v>
      </c>
      <c r="C28" s="12">
        <f>IFERROR(AVERAGE('Usability Feedback'!$I$6:$I$55),0)</f>
        <v>0</v>
      </c>
      <c r="E28" s="47" t="s">
        <v>773</v>
      </c>
      <c r="F28" s="48"/>
      <c r="G28" s="48"/>
      <c r="H28" s="49"/>
    </row>
    <row r="29" spans="1:8">
      <c r="A29" s="4" t="s">
        <v>728</v>
      </c>
      <c r="B29" s="4" t="s">
        <v>774</v>
      </c>
      <c r="C29" s="12">
        <f>IFERROR(AVERAGE('Usability Feedback'!$J$6:$J$55),0)</f>
        <v>0</v>
      </c>
      <c r="E29" s="50"/>
      <c r="F29" s="51"/>
      <c r="G29" s="51"/>
      <c r="H29" s="52"/>
    </row>
    <row r="30" spans="1:8">
      <c r="A30" s="4" t="s">
        <v>729</v>
      </c>
      <c r="B30" s="4" t="s">
        <v>775</v>
      </c>
      <c r="C30" s="12">
        <f>IFERROR(AVERAGE('Usability Feedback'!$K$6:$K$55),0)</f>
        <v>0</v>
      </c>
      <c r="E30" s="50"/>
      <c r="F30" s="51"/>
      <c r="G30" s="51"/>
      <c r="H30" s="52"/>
    </row>
    <row r="31" spans="1:8">
      <c r="A31" s="4" t="s">
        <v>730</v>
      </c>
      <c r="B31" s="4" t="s">
        <v>776</v>
      </c>
      <c r="C31" s="12">
        <f>IFERROR(AVERAGE('Usability Feedback'!$L$6:$L$55),0)</f>
        <v>0</v>
      </c>
      <c r="E31" s="50"/>
      <c r="F31" s="51"/>
      <c r="G31" s="51"/>
      <c r="H31" s="52"/>
    </row>
    <row r="32" spans="1:8">
      <c r="A32" s="4" t="s">
        <v>731</v>
      </c>
      <c r="B32" s="4" t="s">
        <v>777</v>
      </c>
      <c r="C32" s="12">
        <f>IFERROR(AVERAGE('Usability Feedback'!$M$6:$M$55),0)</f>
        <v>0</v>
      </c>
      <c r="E32" s="50"/>
      <c r="F32" s="51"/>
      <c r="G32" s="51"/>
      <c r="H32" s="52"/>
    </row>
    <row r="33" spans="1:8">
      <c r="A33" s="4" t="s">
        <v>732</v>
      </c>
      <c r="B33" s="4" t="s">
        <v>778</v>
      </c>
      <c r="C33" s="12">
        <f>IFERROR(AVERAGE('Usability Feedback'!$N$6:$N$55),0)</f>
        <v>0</v>
      </c>
      <c r="E33" s="53"/>
      <c r="F33" s="54"/>
      <c r="G33" s="54"/>
      <c r="H33" s="55"/>
    </row>
  </sheetData>
  <mergeCells count="15">
    <mergeCell ref="A1:H1"/>
    <mergeCell ref="A2:H2"/>
    <mergeCell ref="A4:B4"/>
    <mergeCell ref="D4:E4"/>
    <mergeCell ref="G4:H4"/>
    <mergeCell ref="A9:B10"/>
    <mergeCell ref="D9:E10"/>
    <mergeCell ref="G9:H10"/>
    <mergeCell ref="E28:H33"/>
    <mergeCell ref="A5:B6"/>
    <mergeCell ref="D5:E6"/>
    <mergeCell ref="G5:H6"/>
    <mergeCell ref="A8:B8"/>
    <mergeCell ref="D8:E8"/>
    <mergeCell ref="G8:H8"/>
  </mergeCells>
  <conditionalFormatting sqref="A14:A18">
    <cfRule type="containsText" dxfId="5" priority="1" operator="containsText" text="Pass"/>
    <cfRule type="containsText" dxfId="4" priority="2" operator="containsText" text="Fail"/>
    <cfRule type="containsText" dxfId="3" priority="3" operator="containsText" text="Blocked"/>
    <cfRule type="containsText" dxfId="2" priority="4" operator="containsText" text="Not Applicable"/>
  </conditionalFormatting>
  <conditionalFormatting sqref="C22:C33">
    <cfRule type="dataBar" priority="6">
      <dataBar>
        <cfvo type="num" val="0"/>
        <cfvo type="num" val="5"/>
        <color rgb="FF6558D3"/>
      </dataBar>
    </cfRule>
    <cfRule type="dataBar" priority="9">
      <dataBar>
        <cfvo type="num" val="0"/>
        <cfvo type="num" val="5"/>
        <color rgb="FF6558D3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E22:E25">
    <cfRule type="containsText" dxfId="1" priority="7" operator="containsText" text="Critical"/>
    <cfRule type="containsText" dxfId="0" priority="8" operator="containsText" text="High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num">
                <xm:f>0</xm:f>
              </x14:cfvo>
              <x14:cfvo type="num">
                <xm:f>5</xm:f>
              </x14:cfvo>
              <x14:negativeFillColor auto="1"/>
              <x14:axisColor auto="1"/>
            </x14:dataBar>
          </x14:cfRule>
          <xm:sqref>C22:C33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showGridLines="0" topLeftCell="A13" workbookViewId="0">
      <selection sqref="A1:H1"/>
    </sheetView>
  </sheetViews>
  <sheetFormatPr defaultRowHeight="13.8"/>
  <cols>
    <col min="1" max="1" width="12" customWidth="1"/>
    <col min="2" max="2" width="72" customWidth="1"/>
    <col min="3" max="3" width="32" customWidth="1"/>
    <col min="4" max="4" width="4" customWidth="1"/>
    <col min="5" max="5" width="10" customWidth="1"/>
    <col min="6" max="8" width="30" customWidth="1"/>
  </cols>
  <sheetData>
    <row r="1" spans="1:8" ht="30" customHeight="1">
      <c r="A1" s="26" t="s">
        <v>779</v>
      </c>
      <c r="B1" s="26"/>
      <c r="C1" s="26"/>
      <c r="D1" s="26"/>
      <c r="E1" s="26"/>
      <c r="F1" s="26"/>
      <c r="G1" s="26"/>
      <c r="H1" s="26"/>
    </row>
    <row r="2" spans="1:8" ht="30" customHeight="1">
      <c r="A2" s="27" t="s">
        <v>780</v>
      </c>
      <c r="B2" s="27"/>
      <c r="C2" s="27"/>
      <c r="D2" s="27"/>
      <c r="E2" s="27"/>
      <c r="F2" s="27"/>
      <c r="G2" s="27"/>
      <c r="H2" s="27"/>
    </row>
    <row r="4" spans="1:8" ht="34.049999999999997" customHeight="1">
      <c r="A4" s="2" t="s">
        <v>781</v>
      </c>
      <c r="B4" s="2" t="s">
        <v>782</v>
      </c>
      <c r="C4" s="2" t="s">
        <v>783</v>
      </c>
      <c r="E4" s="2" t="s">
        <v>784</v>
      </c>
      <c r="F4" s="2" t="s">
        <v>47</v>
      </c>
    </row>
    <row r="5" spans="1:8" ht="37.950000000000003" customHeight="1">
      <c r="A5" s="3" t="s">
        <v>721</v>
      </c>
      <c r="B5" s="3" t="s">
        <v>785</v>
      </c>
      <c r="C5" s="3" t="s">
        <v>767</v>
      </c>
      <c r="E5" s="3">
        <v>1</v>
      </c>
      <c r="F5" s="3" t="s">
        <v>786</v>
      </c>
    </row>
    <row r="6" spans="1:8" ht="37.950000000000003" customHeight="1">
      <c r="A6" s="4" t="s">
        <v>722</v>
      </c>
      <c r="B6" s="4" t="s">
        <v>787</v>
      </c>
      <c r="C6" s="4" t="s">
        <v>768</v>
      </c>
      <c r="E6" s="4">
        <v>2</v>
      </c>
      <c r="F6" s="4" t="s">
        <v>788</v>
      </c>
    </row>
    <row r="7" spans="1:8" ht="37.950000000000003" customHeight="1">
      <c r="A7" s="4" t="s">
        <v>723</v>
      </c>
      <c r="B7" s="4" t="s">
        <v>789</v>
      </c>
      <c r="C7" s="4" t="s">
        <v>769</v>
      </c>
      <c r="E7" s="4">
        <v>3</v>
      </c>
      <c r="F7" s="4" t="s">
        <v>790</v>
      </c>
    </row>
    <row r="8" spans="1:8" ht="37.950000000000003" customHeight="1">
      <c r="A8" s="4" t="s">
        <v>724</v>
      </c>
      <c r="B8" s="4" t="s">
        <v>791</v>
      </c>
      <c r="C8" s="4" t="s">
        <v>770</v>
      </c>
      <c r="E8" s="4">
        <v>4</v>
      </c>
      <c r="F8" s="4" t="s">
        <v>792</v>
      </c>
    </row>
    <row r="9" spans="1:8" ht="37.950000000000003" customHeight="1">
      <c r="A9" s="4" t="s">
        <v>725</v>
      </c>
      <c r="B9" s="4" t="s">
        <v>793</v>
      </c>
      <c r="C9" s="4" t="s">
        <v>254</v>
      </c>
      <c r="E9" s="4">
        <v>5</v>
      </c>
      <c r="F9" s="4" t="s">
        <v>794</v>
      </c>
    </row>
    <row r="10" spans="1:8" ht="37.950000000000003" customHeight="1">
      <c r="A10" s="4" t="s">
        <v>726</v>
      </c>
      <c r="B10" s="4" t="s">
        <v>795</v>
      </c>
      <c r="C10" s="4" t="s">
        <v>771</v>
      </c>
    </row>
    <row r="11" spans="1:8" ht="37.950000000000003" customHeight="1">
      <c r="A11" s="4" t="s">
        <v>727</v>
      </c>
      <c r="B11" s="4" t="s">
        <v>796</v>
      </c>
      <c r="C11" s="4" t="s">
        <v>772</v>
      </c>
      <c r="E11" s="28" t="s">
        <v>797</v>
      </c>
      <c r="F11" s="28"/>
      <c r="G11" s="28"/>
      <c r="H11" s="28"/>
    </row>
    <row r="12" spans="1:8" ht="72" customHeight="1">
      <c r="A12" s="4" t="s">
        <v>728</v>
      </c>
      <c r="B12" s="4" t="s">
        <v>798</v>
      </c>
      <c r="C12" s="4" t="s">
        <v>774</v>
      </c>
      <c r="E12" s="20" t="s">
        <v>3</v>
      </c>
      <c r="F12" s="1" t="s">
        <v>799</v>
      </c>
      <c r="G12" s="1" t="s">
        <v>800</v>
      </c>
      <c r="H12" s="1"/>
    </row>
    <row r="13" spans="1:8" ht="72" customHeight="1">
      <c r="A13" s="4" t="s">
        <v>729</v>
      </c>
      <c r="B13" s="4" t="s">
        <v>801</v>
      </c>
      <c r="C13" s="4" t="s">
        <v>775</v>
      </c>
      <c r="E13" s="20" t="s">
        <v>6</v>
      </c>
      <c r="F13" s="1" t="s">
        <v>802</v>
      </c>
      <c r="G13" s="1" t="s">
        <v>803</v>
      </c>
      <c r="H13" s="1"/>
    </row>
    <row r="14" spans="1:8" ht="72" customHeight="1">
      <c r="A14" s="4" t="s">
        <v>730</v>
      </c>
      <c r="B14" s="4" t="s">
        <v>804</v>
      </c>
      <c r="C14" s="4" t="s">
        <v>776</v>
      </c>
      <c r="E14" s="20" t="s">
        <v>9</v>
      </c>
      <c r="F14" s="1" t="s">
        <v>805</v>
      </c>
      <c r="G14" s="1" t="s">
        <v>806</v>
      </c>
      <c r="H14" s="1"/>
    </row>
    <row r="15" spans="1:8" ht="72" customHeight="1">
      <c r="A15" s="4" t="s">
        <v>731</v>
      </c>
      <c r="B15" s="4" t="s">
        <v>807</v>
      </c>
      <c r="C15" s="4" t="s">
        <v>777</v>
      </c>
      <c r="E15" s="20" t="s">
        <v>12</v>
      </c>
      <c r="F15" s="1" t="s">
        <v>808</v>
      </c>
      <c r="G15" s="1" t="s">
        <v>809</v>
      </c>
      <c r="H15" s="1"/>
    </row>
    <row r="16" spans="1:8" ht="72" customHeight="1">
      <c r="A16" s="4" t="s">
        <v>732</v>
      </c>
      <c r="B16" s="4" t="s">
        <v>810</v>
      </c>
      <c r="C16" s="4" t="s">
        <v>778</v>
      </c>
      <c r="E16" s="20" t="s">
        <v>15</v>
      </c>
      <c r="F16" s="1" t="s">
        <v>811</v>
      </c>
      <c r="G16" s="1" t="s">
        <v>812</v>
      </c>
      <c r="H16" s="1"/>
    </row>
    <row r="17" spans="5:8" ht="72" customHeight="1">
      <c r="E17" s="20" t="s">
        <v>18</v>
      </c>
      <c r="F17" s="1" t="s">
        <v>813</v>
      </c>
      <c r="G17" s="1" t="s">
        <v>814</v>
      </c>
      <c r="H17" s="1"/>
    </row>
  </sheetData>
  <mergeCells count="3">
    <mergeCell ref="A1:H1"/>
    <mergeCell ref="A2:H2"/>
    <mergeCell ref="E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Test Participants</vt:lpstr>
      <vt:lpstr>Test Case Catalogue</vt:lpstr>
      <vt:lpstr>Test Execution</vt:lpstr>
      <vt:lpstr>Model Validation</vt:lpstr>
      <vt:lpstr>Usability Feedback</vt:lpstr>
      <vt:lpstr>Defect Log</vt:lpstr>
      <vt:lpstr>Dashboard</vt:lpstr>
      <vt:lpstr>Lists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Hansini</dc:creator>
  <cp:lastModifiedBy>Amanda Hansini</cp:lastModifiedBy>
  <dcterms:created xsi:type="dcterms:W3CDTF">2026-08-07T06:36:51Z</dcterms:created>
  <dcterms:modified xsi:type="dcterms:W3CDTF">2026-08-07T06:36:51Z</dcterms:modified>
</cp:coreProperties>
</file>